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.2.1" sheetId="1" state="visible" r:id="rId2"/>
    <sheet name="9.2.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6" authorId="0">
      <text>
        <r>
          <rPr>
            <sz val="11"/>
            <color rgb="FF000000"/>
            <rFont val="Calibri"/>
            <family val="2"/>
            <charset val="1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jx:area(lastCell="K22")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6" authorId="0">
      <text>
        <r>
          <rPr>
            <sz val="11"/>
            <color rgb="FF000000"/>
            <rFont val="Calibri"/>
            <family val="2"/>
            <charset val="1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jx:area(lastCell="T32")</t>
        </r>
      </text>
    </comment>
  </commentList>
</comments>
</file>

<file path=xl/sharedStrings.xml><?xml version="1.0" encoding="utf-8"?>
<sst xmlns="http://schemas.openxmlformats.org/spreadsheetml/2006/main" count="156" uniqueCount="138">
  <si>
    <t xml:space="preserve">Наименование показателя</t>
  </si>
  <si>
    <t xml:space="preserve">Коды</t>
  </si>
  <si>
    <t xml:space="preserve">Площадь, га</t>
  </si>
  <si>
    <t xml:space="preserve">Урожайность, ц/га</t>
  </si>
  <si>
    <t xml:space="preserve">Валовый сбор, кг</t>
  </si>
  <si>
    <t xml:space="preserve">Затраты на производство (включая затраты незавершенного производства прошлых лет), относимые на себестоимость продукции отчетного года, руб</t>
  </si>
  <si>
    <t xml:space="preserve">Наименование культуры/ вида продукции</t>
  </si>
  <si>
    <t xml:space="preserve">посеянная</t>
  </si>
  <si>
    <t xml:space="preserve">убранная</t>
  </si>
  <si>
    <t xml:space="preserve">всего (гр.6+ 7+ 8+ 9+ 10+ 11+ 12+ 13+ 14+ 15+ 16)</t>
  </si>
  <si>
    <t xml:space="preserve">в том числе по статьям:</t>
  </si>
  <si>
    <t xml:space="preserve">оплата труда с отчислениями на социальные нужды</t>
  </si>
  <si>
    <t xml:space="preserve">материальные затраты:</t>
  </si>
  <si>
    <t xml:space="preserve">семена и посадочный материал</t>
  </si>
  <si>
    <t xml:space="preserve">минеральные удобрения, бактериальные
и другие препараты</t>
  </si>
  <si>
    <t xml:space="preserve">Топливо</t>
  </si>
  <si>
    <t xml:space="preserve">1</t>
  </si>
  <si>
    <t xml:space="preserve">2</t>
  </si>
  <si>
    <t xml:space="preserve">3</t>
  </si>
  <si>
    <t xml:space="preserve">4</t>
  </si>
  <si>
    <t xml:space="preserve">ВСЕГО:
(стр.92100+ 92200+ 92300+ 92410+ 92420+ 92430+ 92440+ 92450+ 92460+ 92490+ 92500+ 92600+ 92700)</t>
  </si>
  <si>
    <t xml:space="preserve">92000</t>
  </si>
  <si>
    <t xml:space="preserve">Зерновые и зернобобовые культуры на зерно 
и семена (кроме риса)
(стр.92111+ 92112+ 92120+ 92131+ 92132+ 92140+ 92150+ 92160+ 92170+ 92180+ 92190)</t>
  </si>
  <si>
    <t xml:space="preserve">92100</t>
  </si>
  <si>
    <t xml:space="preserve">в том числе:
пшеница озимая</t>
  </si>
  <si>
    <t xml:space="preserve">92111</t>
  </si>
  <si>
    <t xml:space="preserve">${winter_wheat_area.sownArea}</t>
  </si>
  <si>
    <t xml:space="preserve">${winter_wheat_area.harvestedArea}</t>
  </si>
  <si>
    <r>
      <rPr>
        <sz val="12"/>
        <color rgb="FF000000"/>
        <rFont val="Calibri"/>
        <family val="2"/>
        <charset val="1"/>
      </rPr>
      <t xml:space="preserve">${winter_wheat_harvest.</t>
    </r>
    <r>
      <rPr>
        <sz val="10"/>
        <color rgb="FFC77DBB"/>
        <rFont val="JetBrains Mono"/>
        <family val="3"/>
        <charset val="1"/>
      </rPr>
      <t xml:space="preserve">totalGrossHarvest</t>
    </r>
    <r>
      <rPr>
        <sz val="12"/>
        <color rgb="FF000000"/>
        <rFont val="Calibri"/>
        <family val="2"/>
        <charset val="1"/>
      </rPr>
      <t xml:space="preserve">}</t>
    </r>
  </si>
  <si>
    <r>
      <rPr>
        <sz val="12"/>
        <rFont val="Calibri"/>
        <family val="2"/>
        <charset val="1"/>
      </rPr>
      <t xml:space="preserve">${winter_wheat.</t>
    </r>
    <r>
      <rPr>
        <sz val="10"/>
        <color rgb="FFC77DBB"/>
        <rFont val="JetBrains Mono"/>
        <family val="3"/>
        <charset val="1"/>
      </rPr>
      <t xml:space="preserve">totalCost</t>
    </r>
    <r>
      <rPr>
        <sz val="12"/>
        <rFont val="Calibri"/>
        <family val="2"/>
        <charset val="1"/>
      </rPr>
      <t xml:space="preserve">}</t>
    </r>
  </si>
  <si>
    <r>
      <rPr>
        <sz val="12"/>
        <rFont val="Calibri"/>
        <family val="2"/>
        <charset val="1"/>
      </rPr>
      <t xml:space="preserve">${</t>
    </r>
    <r>
      <rPr>
        <sz val="10"/>
        <color rgb="FF6AAB73"/>
        <rFont val="JetBrains Mono"/>
        <family val="3"/>
        <charset val="1"/>
      </rPr>
      <t xml:space="preserve">crop_material_costs</t>
    </r>
    <r>
      <rPr>
        <sz val="12"/>
        <rFont val="Calibri"/>
        <family val="2"/>
        <charset val="1"/>
      </rPr>
      <t xml:space="preserve">.winter_wheat.seeds}</t>
    </r>
  </si>
  <si>
    <t xml:space="preserve">${crop_material_costs.winter_wheat.fertilizer}</t>
  </si>
  <si>
    <t xml:space="preserve">${crop_material_costs.winter_wheat.fuel}</t>
  </si>
  <si>
    <t xml:space="preserve">пшеница яровая</t>
  </si>
  <si>
    <t xml:space="preserve">92112</t>
  </si>
  <si>
    <t xml:space="preserve">${spring_wheat_area.sownArea}</t>
  </si>
  <si>
    <t xml:space="preserve">${spring_wheat_area.harvestedArea}</t>
  </si>
  <si>
    <r>
      <rPr>
        <sz val="12"/>
        <color rgb="FF000000"/>
        <rFont val="Calibri"/>
        <family val="2"/>
        <charset val="1"/>
      </rPr>
      <t xml:space="preserve">${spring_wheat_harvest.</t>
    </r>
    <r>
      <rPr>
        <sz val="10"/>
        <color rgb="FFC77DBB"/>
        <rFont val="JetBrains Mono"/>
        <family val="3"/>
        <charset val="1"/>
      </rPr>
      <t xml:space="preserve">totalGrossHarvest</t>
    </r>
    <r>
      <rPr>
        <sz val="12"/>
        <color rgb="FF000000"/>
        <rFont val="Calibri"/>
        <family val="2"/>
        <charset val="1"/>
      </rPr>
      <t xml:space="preserve">}</t>
    </r>
  </si>
  <si>
    <r>
      <rPr>
        <sz val="12"/>
        <color rgb="FF000000"/>
        <rFont val="Calibri"/>
        <family val="2"/>
        <charset val="1"/>
      </rPr>
      <t xml:space="preserve">${spring_wheat.</t>
    </r>
    <r>
      <rPr>
        <sz val="10"/>
        <color rgb="FFC77DBB"/>
        <rFont val="JetBrains Mono"/>
        <family val="3"/>
        <charset val="1"/>
      </rPr>
      <t xml:space="preserve">totalCost</t>
    </r>
    <r>
      <rPr>
        <sz val="12"/>
        <color rgb="FF000000"/>
        <rFont val="Calibri"/>
        <family val="2"/>
        <charset val="1"/>
      </rPr>
      <t xml:space="preserve">}</t>
    </r>
  </si>
  <si>
    <r>
      <rPr>
        <sz val="11"/>
        <color rgb="FF000000"/>
        <rFont val="Calibri"/>
        <family val="2"/>
        <charset val="1"/>
      </rPr>
      <t xml:space="preserve">${</t>
    </r>
    <r>
      <rPr>
        <sz val="10"/>
        <color rgb="FF6AAB73"/>
        <rFont val="JetBrains Mono"/>
        <family val="3"/>
        <charset val="1"/>
      </rPr>
      <t xml:space="preserve">crop_material_costs</t>
    </r>
    <r>
      <rPr>
        <sz val="12"/>
        <color rgb="FF000000"/>
        <rFont val="Calibri"/>
        <family val="2"/>
        <charset val="1"/>
      </rPr>
      <t xml:space="preserve">.</t>
    </r>
    <r>
      <rPr>
        <sz val="11"/>
        <color rgb="FF000000"/>
        <rFont val="Calibri"/>
        <family val="2"/>
        <charset val="1"/>
      </rPr>
      <t xml:space="preserve">spring_wheat.</t>
    </r>
    <r>
      <rPr>
        <sz val="11"/>
        <color rgb="FF000000"/>
        <rFont val="Times New Roman"/>
        <family val="1"/>
        <charset val="1"/>
      </rPr>
      <t xml:space="preserve">seeds</t>
    </r>
    <r>
      <rPr>
        <sz val="12"/>
        <color rgb="FF000000"/>
        <rFont val="Calibri"/>
        <family val="2"/>
        <charset val="1"/>
      </rPr>
      <t xml:space="preserve">}</t>
    </r>
  </si>
  <si>
    <r>
      <rPr>
        <sz val="11"/>
        <color rgb="FF000000"/>
        <rFont val="Calibri"/>
        <family val="2"/>
        <charset val="1"/>
      </rPr>
      <t xml:space="preserve">${</t>
    </r>
    <r>
      <rPr>
        <sz val="10"/>
        <color rgb="FF6AAB73"/>
        <rFont val="JetBrains Mono"/>
        <family val="3"/>
        <charset val="1"/>
      </rPr>
      <t xml:space="preserve">crop_material_costs</t>
    </r>
    <r>
      <rPr>
        <sz val="12"/>
        <color rgb="FF000000"/>
        <rFont val="Calibri"/>
        <family val="2"/>
        <charset val="1"/>
      </rPr>
      <t xml:space="preserve">.</t>
    </r>
    <r>
      <rPr>
        <sz val="11"/>
        <color rgb="FF000000"/>
        <rFont val="Calibri"/>
        <family val="2"/>
        <charset val="1"/>
      </rPr>
      <t xml:space="preserve">spring_wheat.fertilizer}</t>
    </r>
  </si>
  <si>
    <r>
      <rPr>
        <sz val="11"/>
        <color rgb="FF000000"/>
        <rFont val="Calibri"/>
        <family val="2"/>
        <charset val="1"/>
      </rPr>
      <t xml:space="preserve">${</t>
    </r>
    <r>
      <rPr>
        <sz val="10"/>
        <color rgb="FF6AAB73"/>
        <rFont val="JetBrains Mono"/>
        <family val="3"/>
        <charset val="1"/>
      </rPr>
      <t xml:space="preserve">crop_material_costs</t>
    </r>
    <r>
      <rPr>
        <sz val="12"/>
        <color rgb="FF000000"/>
        <rFont val="Calibri"/>
        <family val="2"/>
        <charset val="1"/>
      </rPr>
      <t xml:space="preserve">.</t>
    </r>
    <r>
      <rPr>
        <sz val="11"/>
        <color rgb="FF000000"/>
        <rFont val="Calibri"/>
        <family val="2"/>
        <charset val="1"/>
      </rPr>
      <t xml:space="preserve">spring_wheat.fuel}</t>
    </r>
  </si>
  <si>
    <t xml:space="preserve">кукуруза (на зерно)</t>
  </si>
  <si>
    <t xml:space="preserve">92120</t>
  </si>
  <si>
    <t xml:space="preserve">из нее:
семенные посевы кукурузы</t>
  </si>
  <si>
    <t xml:space="preserve">92121</t>
  </si>
  <si>
    <t xml:space="preserve">рожь озимая</t>
  </si>
  <si>
    <t xml:space="preserve">92131</t>
  </si>
  <si>
    <t xml:space="preserve">рожь яровая</t>
  </si>
  <si>
    <t xml:space="preserve">92132</t>
  </si>
  <si>
    <t xml:space="preserve">гречиха</t>
  </si>
  <si>
    <t xml:space="preserve">92140</t>
  </si>
  <si>
    <t xml:space="preserve">овес</t>
  </si>
  <si>
    <t xml:space="preserve">92150</t>
  </si>
  <si>
    <t xml:space="preserve">ячмень (озимый и яровой)</t>
  </si>
  <si>
    <t xml:space="preserve">92160</t>
  </si>
  <si>
    <t xml:space="preserve">${spring_barley_area.sownArea}</t>
  </si>
  <si>
    <t xml:space="preserve">${spring_barley_area.harvestedArea}</t>
  </si>
  <si>
    <r>
      <rPr>
        <sz val="12"/>
        <color rgb="FF000000"/>
        <rFont val="Calibri"/>
        <family val="2"/>
        <charset val="1"/>
      </rPr>
      <t xml:space="preserve">${spring_barley_harvest.</t>
    </r>
    <r>
      <rPr>
        <sz val="10"/>
        <color rgb="FFC77DBB"/>
        <rFont val="JetBrains Mono"/>
        <family val="3"/>
        <charset val="1"/>
      </rPr>
      <t xml:space="preserve">totalGrossHarvest</t>
    </r>
    <r>
      <rPr>
        <sz val="12"/>
        <color rgb="FF000000"/>
        <rFont val="Calibri"/>
        <family val="2"/>
        <charset val="1"/>
      </rPr>
      <t xml:space="preserve">}</t>
    </r>
  </si>
  <si>
    <r>
      <rPr>
        <sz val="12"/>
        <color rgb="FF000000"/>
        <rFont val="Calibri"/>
        <family val="2"/>
        <charset val="1"/>
      </rPr>
      <t xml:space="preserve">${spring_barley.</t>
    </r>
    <r>
      <rPr>
        <sz val="10"/>
        <color rgb="FFC77DBB"/>
        <rFont val="JetBrains Mono"/>
        <family val="3"/>
        <charset val="1"/>
      </rPr>
      <t xml:space="preserve">totalCost</t>
    </r>
    <r>
      <rPr>
        <sz val="12"/>
        <color rgb="FF000000"/>
        <rFont val="Calibri"/>
        <family val="2"/>
        <charset val="1"/>
      </rPr>
      <t xml:space="preserve">}</t>
    </r>
  </si>
  <si>
    <r>
      <rPr>
        <sz val="11"/>
        <color rgb="FF000000"/>
        <rFont val="Calibri"/>
        <family val="2"/>
        <charset val="1"/>
      </rPr>
      <t xml:space="preserve">${</t>
    </r>
    <r>
      <rPr>
        <sz val="10"/>
        <color rgb="FF6AAB73"/>
        <rFont val="JetBrains Mono"/>
        <family val="3"/>
        <charset val="1"/>
      </rPr>
      <t xml:space="preserve">crop_material_costs</t>
    </r>
    <r>
      <rPr>
        <sz val="12"/>
        <color rgb="FF000000"/>
        <rFont val="Calibri"/>
        <family val="2"/>
        <charset val="1"/>
      </rPr>
      <t xml:space="preserve">.</t>
    </r>
    <r>
      <rPr>
        <sz val="11"/>
        <color rgb="FF000000"/>
        <rFont val="Calibri"/>
        <family val="2"/>
        <charset val="1"/>
      </rPr>
      <t xml:space="preserve">spring_barley.</t>
    </r>
    <r>
      <rPr>
        <sz val="11"/>
        <color rgb="FF000000"/>
        <rFont val="Times New Roman"/>
        <family val="1"/>
        <charset val="1"/>
      </rPr>
      <t xml:space="preserve">seeds</t>
    </r>
    <r>
      <rPr>
        <sz val="12"/>
        <color rgb="FF000000"/>
        <rFont val="Calibri"/>
        <family val="2"/>
        <charset val="1"/>
      </rPr>
      <t xml:space="preserve">}</t>
    </r>
  </si>
  <si>
    <r>
      <rPr>
        <sz val="11"/>
        <color rgb="FF000000"/>
        <rFont val="Calibri"/>
        <family val="2"/>
        <charset val="1"/>
      </rPr>
      <t xml:space="preserve">${</t>
    </r>
    <r>
      <rPr>
        <sz val="10"/>
        <color rgb="FF6AAB73"/>
        <rFont val="JetBrains Mono"/>
        <family val="3"/>
        <charset val="1"/>
      </rPr>
      <t xml:space="preserve">crop_material_costs</t>
    </r>
    <r>
      <rPr>
        <sz val="12"/>
        <color rgb="FF000000"/>
        <rFont val="Calibri"/>
        <family val="2"/>
        <charset val="1"/>
      </rPr>
      <t xml:space="preserve">.</t>
    </r>
    <r>
      <rPr>
        <sz val="11"/>
        <color rgb="FF000000"/>
        <rFont val="Calibri"/>
        <family val="2"/>
        <charset val="1"/>
      </rPr>
      <t xml:space="preserve">spring_barley.fertilizer}</t>
    </r>
  </si>
  <si>
    <r>
      <rPr>
        <sz val="11"/>
        <color rgb="FF000000"/>
        <rFont val="Calibri"/>
        <family val="2"/>
        <charset val="1"/>
      </rPr>
      <t xml:space="preserve">${</t>
    </r>
    <r>
      <rPr>
        <sz val="10"/>
        <color rgb="FF6AAB73"/>
        <rFont val="JetBrains Mono"/>
        <family val="3"/>
        <charset val="1"/>
      </rPr>
      <t xml:space="preserve">crop_material_costs</t>
    </r>
    <r>
      <rPr>
        <sz val="12"/>
        <color rgb="FF000000"/>
        <rFont val="Calibri"/>
        <family val="2"/>
        <charset val="1"/>
      </rPr>
      <t xml:space="preserve">.</t>
    </r>
    <r>
      <rPr>
        <sz val="11"/>
        <color rgb="FF000000"/>
        <rFont val="Calibri"/>
        <family val="2"/>
        <charset val="1"/>
      </rPr>
      <t xml:space="preserve">spring_barley.fuel}</t>
    </r>
  </si>
  <si>
    <t xml:space="preserve">из него:
пивоваренный</t>
  </si>
  <si>
    <t xml:space="preserve">92161</t>
  </si>
  <si>
    <t xml:space="preserve">прочие озимые зерновые</t>
  </si>
  <si>
    <t xml:space="preserve">92170</t>
  </si>
  <si>
    <t xml:space="preserve">прочие яровые зерновые</t>
  </si>
  <si>
    <t xml:space="preserve">92180</t>
  </si>
  <si>
    <t xml:space="preserve">из них:
просо</t>
  </si>
  <si>
    <t xml:space="preserve">92181</t>
  </si>
  <si>
    <t xml:space="preserve">прочие зернобобовые</t>
  </si>
  <si>
    <t xml:space="preserve">92190</t>
  </si>
  <si>
    <t xml:space="preserve">Рис</t>
  </si>
  <si>
    <t xml:space="preserve">92200</t>
  </si>
  <si>
    <t xml:space="preserve">Урожайность, кг</t>
  </si>
  <si>
    <t xml:space="preserve">Затраты на производство (включая затраты незавершенного производства прошлых лет), относимые на себестоимость продукции отчетного года, тыс. руб</t>
  </si>
  <si>
    <t xml:space="preserve">Масличные культуры
(стр.92310+ 92321+ 92322+ 92330+ 92390)</t>
  </si>
  <si>
    <t xml:space="preserve">92300</t>
  </si>
  <si>
    <t xml:space="preserve">в том числе:
соя (бобы соевые)</t>
  </si>
  <si>
    <t xml:space="preserve">92310</t>
  </si>
  <si>
    <t xml:space="preserve">рапс озимый</t>
  </si>
  <si>
    <t xml:space="preserve">92321</t>
  </si>
  <si>
    <t xml:space="preserve">рапс яровой (кольза)</t>
  </si>
  <si>
    <t xml:space="preserve">92322</t>
  </si>
  <si>
    <t xml:space="preserve">подсолнечник (для посева и переработки)</t>
  </si>
  <si>
    <t xml:space="preserve">92330</t>
  </si>
  <si>
    <t xml:space="preserve">${sunflower_area.sownArea}</t>
  </si>
  <si>
    <t xml:space="preserve">${sunflower_area.harvestedArea}</t>
  </si>
  <si>
    <r>
      <rPr>
        <sz val="11"/>
        <color rgb="FF000000"/>
        <rFont val="Calibri"/>
        <family val="2"/>
        <charset val="1"/>
      </rPr>
      <t xml:space="preserve">${sunflower_harvest.</t>
    </r>
    <r>
      <rPr>
        <sz val="10"/>
        <color rgb="FFC77DBB"/>
        <rFont val="JetBrains Mono"/>
        <family val="3"/>
        <charset val="1"/>
      </rPr>
      <t xml:space="preserve">totalGrossHarvest</t>
    </r>
    <r>
      <rPr>
        <sz val="11"/>
        <color rgb="FF000000"/>
        <rFont val="Calibri"/>
        <family val="2"/>
        <charset val="1"/>
      </rPr>
      <t xml:space="preserve">}</t>
    </r>
  </si>
  <si>
    <r>
      <rPr>
        <sz val="12"/>
        <color rgb="FF000000"/>
        <rFont val="Calibri"/>
        <family val="2"/>
        <charset val="1"/>
      </rPr>
      <t xml:space="preserve">${sunflower.</t>
    </r>
    <r>
      <rPr>
        <sz val="10"/>
        <color rgb="FFC77DBB"/>
        <rFont val="JetBrains Mono"/>
        <family val="3"/>
        <charset val="1"/>
      </rPr>
      <t xml:space="preserve">totalCost</t>
    </r>
    <r>
      <rPr>
        <sz val="12"/>
        <color rgb="FF000000"/>
        <rFont val="Calibri"/>
        <family val="2"/>
        <charset val="1"/>
      </rPr>
      <t xml:space="preserve">}</t>
    </r>
  </si>
  <si>
    <t xml:space="preserve">${crop_material_costs.sunflower.seeds}</t>
  </si>
  <si>
    <t xml:space="preserve">${crop_material_costs.sunflower.fertilizer}</t>
  </si>
  <si>
    <t xml:space="preserve">${crop_material_costs.sunflower.fuel}</t>
  </si>
  <si>
    <t xml:space="preserve">из него 
семенные посевы подсолнечника</t>
  </si>
  <si>
    <t xml:space="preserve">92331</t>
  </si>
  <si>
    <t xml:space="preserve">прочие масличные культуры, не включенные 
в другие группировки (в том числе лен-кудряш (масличный), рыжик)</t>
  </si>
  <si>
    <t xml:space="preserve">92390</t>
  </si>
  <si>
    <t xml:space="preserve">Овощи открытого грунта (кроме семенных посевов)</t>
  </si>
  <si>
    <t xml:space="preserve">92410</t>
  </si>
  <si>
    <t xml:space="preserve">Овощи защищенного грунта 
(площадь - в м2)</t>
  </si>
  <si>
    <t xml:space="preserve">92420</t>
  </si>
  <si>
    <t xml:space="preserve">в том числе: огурцы</t>
  </si>
  <si>
    <t xml:space="preserve">92421</t>
  </si>
  <si>
    <t xml:space="preserve">помидоры (томаты)</t>
  </si>
  <si>
    <t xml:space="preserve">92422</t>
  </si>
  <si>
    <t xml:space="preserve">культуры овощные салатные или зеленые</t>
  </si>
  <si>
    <t xml:space="preserve">92423</t>
  </si>
  <si>
    <t xml:space="preserve">Семенные посевы (семенники) овощных культур</t>
  </si>
  <si>
    <t xml:space="preserve">92430</t>
  </si>
  <si>
    <t xml:space="preserve">в том числе: 
капусты</t>
  </si>
  <si>
    <t xml:space="preserve">92431</t>
  </si>
  <si>
    <t xml:space="preserve">огурцов</t>
  </si>
  <si>
    <t xml:space="preserve">92432</t>
  </si>
  <si>
    <t xml:space="preserve">помидоров (томатов)</t>
  </si>
  <si>
    <t xml:space="preserve">92433</t>
  </si>
  <si>
    <t xml:space="preserve">лука</t>
  </si>
  <si>
    <t xml:space="preserve">92434</t>
  </si>
  <si>
    <t xml:space="preserve">чеснока</t>
  </si>
  <si>
    <t xml:space="preserve">92435</t>
  </si>
  <si>
    <t xml:space="preserve">моркови столовой</t>
  </si>
  <si>
    <t xml:space="preserve">92436</t>
  </si>
  <si>
    <t xml:space="preserve">свеклы столовой</t>
  </si>
  <si>
    <t xml:space="preserve">92437</t>
  </si>
  <si>
    <t xml:space="preserve">гороха овощного</t>
  </si>
  <si>
    <t xml:space="preserve">92438</t>
  </si>
  <si>
    <t xml:space="preserve">Картофель</t>
  </si>
  <si>
    <t xml:space="preserve">92440</t>
  </si>
  <si>
    <t xml:space="preserve">в том числе: семенные посевы картофеля</t>
  </si>
  <si>
    <t xml:space="preserve">92441</t>
  </si>
  <si>
    <t xml:space="preserve">Свекла сахарная (товарная)</t>
  </si>
  <si>
    <t xml:space="preserve">92450</t>
  </si>
  <si>
    <t xml:space="preserve">в том числе: семенные посевы сахарной свеклы</t>
  </si>
  <si>
    <t xml:space="preserve">92451</t>
  </si>
  <si>
    <t xml:space="preserve">Продовольственные бахчевые культуры</t>
  </si>
  <si>
    <t xml:space="preserve">92460</t>
  </si>
  <si>
    <t xml:space="preserve">Прочие овощные культуры, корнеплоды столовые 
и клубнеплоды на продовольственные цели, 
не включенные в другие группировки</t>
  </si>
  <si>
    <t xml:space="preserve">92490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</si>
</sst>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[=0]\-;General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1"/>
      <charset val="204"/>
    </font>
    <font>
      <i val="true"/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sz val="11"/>
      <name val="Times New Roman"/>
      <family val="1"/>
      <charset val="1"/>
    </font>
    <font>
      <sz val="12"/>
      <color rgb="FF000000"/>
      <name val="Calibri"/>
      <family val="2"/>
      <charset val="1"/>
    </font>
    <font>
      <sz val="10"/>
      <color rgb="FFC77DBB"/>
      <name val="JetBrains Mono"/>
      <family val="3"/>
      <charset val="1"/>
    </font>
    <font>
      <sz val="12"/>
      <name val="Calibri"/>
      <family val="2"/>
      <charset val="1"/>
    </font>
    <font>
      <sz val="10"/>
      <color rgb="FF6AAB73"/>
      <name val="JetBrains Mono"/>
      <family val="3"/>
      <charset val="1"/>
    </font>
    <font>
      <sz val="11"/>
      <color rgb="FF000000"/>
      <name val="Times New Roman"/>
      <family val="1"/>
      <charset val="1"/>
    </font>
    <font>
      <sz val="9"/>
      <color rgb="FF00000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2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6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77DBB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6AAB7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D1" colorId="64" zoomScale="90" zoomScaleNormal="90" zoomScalePageLayoutView="100" workbookViewId="0">
      <selection pane="topLeft" activeCell="M8" activeCellId="0" sqref="M8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55.12"/>
    <col collapsed="false" customWidth="true" hidden="false" outlineLevel="0" max="2" min="2" style="0" width="11.15"/>
    <col collapsed="false" customWidth="true" hidden="false" outlineLevel="0" max="4" min="3" style="0" width="12.26"/>
    <col collapsed="false" customWidth="true" hidden="false" outlineLevel="0" max="5" min="5" style="0" width="18.93"/>
    <col collapsed="false" customWidth="true" hidden="false" outlineLevel="0" max="6" min="6" style="0" width="18.29"/>
    <col collapsed="false" customWidth="true" hidden="false" outlineLevel="0" max="7" min="7" style="0" width="19.71"/>
    <col collapsed="false" customWidth="true" hidden="false" outlineLevel="0" max="8" min="8" style="0" width="24.77"/>
    <col collapsed="false" customWidth="true" hidden="false" outlineLevel="0" max="9" min="9" style="0" width="34.5"/>
    <col collapsed="false" customWidth="true" hidden="false" outlineLevel="0" max="10" min="10" style="0" width="22.55"/>
    <col collapsed="false" customWidth="true" hidden="false" outlineLevel="0" max="11" min="11" style="0" width="15.71"/>
    <col collapsed="false" customWidth="true" hidden="false" outlineLevel="0" max="1024" min="1014" style="0" width="9.14"/>
  </cols>
  <sheetData>
    <row r="1" customFormat="false" ht="13.8" hidden="false" customHeight="true" outlineLevel="0" collapsed="false">
      <c r="A1" s="1" t="s">
        <v>0</v>
      </c>
      <c r="B1" s="1" t="s">
        <v>1</v>
      </c>
      <c r="C1" s="1" t="s">
        <v>2</v>
      </c>
      <c r="D1" s="1"/>
      <c r="E1" s="1" t="s">
        <v>3</v>
      </c>
      <c r="F1" s="2" t="s">
        <v>4</v>
      </c>
      <c r="G1" s="3" t="s">
        <v>5</v>
      </c>
      <c r="H1" s="3"/>
      <c r="I1" s="3"/>
      <c r="J1" s="3"/>
      <c r="K1" s="3"/>
    </row>
    <row r="2" customFormat="false" ht="13.8" hidden="false" customHeight="true" outlineLevel="0" collapsed="false">
      <c r="A2" s="1" t="s">
        <v>6</v>
      </c>
      <c r="B2" s="1"/>
      <c r="C2" s="1" t="s">
        <v>7</v>
      </c>
      <c r="D2" s="1" t="s">
        <v>8</v>
      </c>
      <c r="E2" s="1"/>
      <c r="F2" s="2"/>
      <c r="G2" s="3" t="s">
        <v>9</v>
      </c>
      <c r="H2" s="4" t="s">
        <v>10</v>
      </c>
      <c r="I2" s="4"/>
      <c r="J2" s="4"/>
      <c r="K2" s="4"/>
    </row>
    <row r="3" customFormat="false" ht="13.8" hidden="false" customHeight="true" outlineLevel="0" collapsed="false">
      <c r="A3" s="1"/>
      <c r="B3" s="1"/>
      <c r="C3" s="1"/>
      <c r="D3" s="1"/>
      <c r="E3" s="1"/>
      <c r="F3" s="2"/>
      <c r="G3" s="3"/>
      <c r="H3" s="1" t="s">
        <v>11</v>
      </c>
      <c r="I3" s="3" t="s">
        <v>12</v>
      </c>
      <c r="J3" s="3"/>
      <c r="K3" s="3"/>
    </row>
    <row r="4" customFormat="false" ht="37.3" hidden="false" customHeight="false" outlineLevel="0" collapsed="false">
      <c r="A4" s="1"/>
      <c r="B4" s="1"/>
      <c r="C4" s="1"/>
      <c r="D4" s="1"/>
      <c r="E4" s="1"/>
      <c r="F4" s="2"/>
      <c r="G4" s="3"/>
      <c r="H4" s="1"/>
      <c r="I4" s="3" t="s">
        <v>13</v>
      </c>
      <c r="J4" s="3" t="s">
        <v>14</v>
      </c>
      <c r="K4" s="3" t="s">
        <v>15</v>
      </c>
    </row>
    <row r="5" customFormat="false" ht="13.8" hidden="false" customHeight="false" outlineLevel="0" collapsed="false">
      <c r="A5" s="5" t="s">
        <v>16</v>
      </c>
      <c r="B5" s="6" t="s">
        <v>17</v>
      </c>
      <c r="C5" s="5" t="s">
        <v>18</v>
      </c>
      <c r="D5" s="5" t="s">
        <v>19</v>
      </c>
      <c r="E5" s="5" t="n">
        <v>5</v>
      </c>
      <c r="F5" s="7" t="n">
        <v>6</v>
      </c>
      <c r="G5" s="5" t="n">
        <v>7</v>
      </c>
      <c r="H5" s="5" t="n">
        <v>8</v>
      </c>
      <c r="I5" s="6" t="n">
        <v>9</v>
      </c>
      <c r="J5" s="6" t="n">
        <v>10</v>
      </c>
      <c r="K5" s="6" t="n">
        <v>11</v>
      </c>
    </row>
    <row r="6" customFormat="false" ht="37.3" hidden="false" customHeight="false" outlineLevel="0" collapsed="false">
      <c r="A6" s="8" t="s">
        <v>20</v>
      </c>
      <c r="B6" s="9" t="s">
        <v>21</v>
      </c>
      <c r="C6" s="10" t="e">
        <f aca="false">C7+'9.2.2'!C6</f>
        <v>#VALUE!</v>
      </c>
      <c r="D6" s="10" t="e">
        <f aca="false">D7+'9.2.2'!D6</f>
        <v>#VALUE!</v>
      </c>
      <c r="E6" s="10" t="e">
        <f aca="false">E7+'9.2.2'!E6</f>
        <v>#VALUE!</v>
      </c>
      <c r="F6" s="10" t="e">
        <f aca="false">F7+'9.2.2'!F6</f>
        <v>#VALUE!</v>
      </c>
      <c r="G6" s="10" t="n">
        <f aca="false">G7+'9.2.2'!G6</f>
        <v>0</v>
      </c>
      <c r="H6" s="10" t="e">
        <f aca="false">H7+'9.2.2'!H6</f>
        <v>#VALUE!</v>
      </c>
      <c r="I6" s="10" t="e">
        <f aca="false">I7+'9.2.2'!I6</f>
        <v>#VALUE!</v>
      </c>
      <c r="J6" s="10" t="e">
        <f aca="false">J7+'9.2.2'!J6</f>
        <v>#VALUE!</v>
      </c>
      <c r="K6" s="10" t="e">
        <f aca="false">K7+'9.2.2'!K6</f>
        <v>#VALUE!</v>
      </c>
    </row>
    <row r="7" customFormat="false" ht="49.25" hidden="false" customHeight="false" outlineLevel="0" collapsed="false">
      <c r="A7" s="11" t="s">
        <v>22</v>
      </c>
      <c r="B7" s="12" t="s">
        <v>23</v>
      </c>
      <c r="C7" s="13" t="e">
        <f aca="false">C8+C9+C16</f>
        <v>#VALUE!</v>
      </c>
      <c r="D7" s="13" t="e">
        <f aca="false">D8+D9+D16</f>
        <v>#VALUE!</v>
      </c>
      <c r="E7" s="13" t="e">
        <f aca="false">E8+E9+E16</f>
        <v>#VALUE!</v>
      </c>
      <c r="F7" s="13" t="e">
        <f aca="false">F8+F9+F16</f>
        <v>#VALUE!</v>
      </c>
      <c r="G7" s="13" t="n">
        <f aca="false">G8+G9+G16</f>
        <v>0</v>
      </c>
      <c r="H7" s="13" t="e">
        <f aca="false">H8+H9+H16</f>
        <v>#VALUE!</v>
      </c>
      <c r="I7" s="13" t="e">
        <f aca="false">I8+I9+I16</f>
        <v>#VALUE!</v>
      </c>
      <c r="J7" s="13" t="e">
        <f aca="false">J8+J9+J16</f>
        <v>#VALUE!</v>
      </c>
      <c r="K7" s="13" t="e">
        <f aca="false">K8+K9+K16</f>
        <v>#VALUE!</v>
      </c>
    </row>
    <row r="8" customFormat="false" ht="73.1" hidden="false" customHeight="false" outlineLevel="0" collapsed="false">
      <c r="A8" s="11" t="s">
        <v>24</v>
      </c>
      <c r="B8" s="12" t="s">
        <v>25</v>
      </c>
      <c r="C8" s="14" t="s">
        <v>26</v>
      </c>
      <c r="D8" s="15" t="s">
        <v>27</v>
      </c>
      <c r="E8" s="15" t="e">
        <f aca="false">F8/100/C8</f>
        <v>#VALUE!</v>
      </c>
      <c r="F8" s="16" t="s">
        <v>28</v>
      </c>
      <c r="G8" s="14" t="n">
        <f aca="false">SUM(H8:K8)</f>
        <v>0</v>
      </c>
      <c r="H8" s="17" t="s">
        <v>29</v>
      </c>
      <c r="I8" s="17" t="s">
        <v>30</v>
      </c>
      <c r="J8" s="15" t="s">
        <v>31</v>
      </c>
      <c r="K8" s="15" t="s">
        <v>32</v>
      </c>
    </row>
    <row r="9" customFormat="false" ht="56.35" hidden="false" customHeight="false" outlineLevel="0" collapsed="false">
      <c r="A9" s="11" t="s">
        <v>33</v>
      </c>
      <c r="B9" s="12" t="s">
        <v>34</v>
      </c>
      <c r="C9" s="15" t="s">
        <v>35</v>
      </c>
      <c r="D9" s="15" t="s">
        <v>36</v>
      </c>
      <c r="E9" s="15" t="e">
        <f aca="false">F9/100/C9</f>
        <v>#VALUE!</v>
      </c>
      <c r="F9" s="16" t="s">
        <v>37</v>
      </c>
      <c r="G9" s="14" t="n">
        <f aca="false">SUM(H9:K9)</f>
        <v>0</v>
      </c>
      <c r="H9" s="18" t="s">
        <v>38</v>
      </c>
      <c r="I9" s="19" t="s">
        <v>39</v>
      </c>
      <c r="J9" s="19" t="s">
        <v>40</v>
      </c>
      <c r="K9" s="19" t="s">
        <v>41</v>
      </c>
    </row>
    <row r="10" customFormat="false" ht="13.8" hidden="false" customHeight="false" outlineLevel="0" collapsed="false">
      <c r="A10" s="11" t="s">
        <v>42</v>
      </c>
      <c r="B10" s="12" t="s">
        <v>43</v>
      </c>
      <c r="C10" s="14"/>
      <c r="D10" s="14"/>
      <c r="E10" s="15"/>
      <c r="F10" s="20"/>
      <c r="G10" s="14"/>
      <c r="H10" s="14"/>
      <c r="I10" s="14"/>
      <c r="J10" s="14"/>
      <c r="K10" s="14"/>
    </row>
    <row r="11" customFormat="false" ht="25.35" hidden="false" customHeight="false" outlineLevel="0" collapsed="false">
      <c r="A11" s="21" t="s">
        <v>44</v>
      </c>
      <c r="B11" s="12" t="s">
        <v>45</v>
      </c>
      <c r="C11" s="14"/>
      <c r="D11" s="14"/>
      <c r="E11" s="15"/>
      <c r="F11" s="20"/>
      <c r="G11" s="14"/>
      <c r="H11" s="14"/>
      <c r="I11" s="14"/>
      <c r="J11" s="14"/>
      <c r="K11" s="14"/>
    </row>
    <row r="12" customFormat="false" ht="13.8" hidden="false" customHeight="false" outlineLevel="0" collapsed="false">
      <c r="A12" s="11" t="s">
        <v>46</v>
      </c>
      <c r="B12" s="12" t="s">
        <v>47</v>
      </c>
      <c r="C12" s="14"/>
      <c r="D12" s="14"/>
      <c r="E12" s="15"/>
      <c r="F12" s="20"/>
      <c r="G12" s="14"/>
      <c r="H12" s="14"/>
      <c r="I12" s="14"/>
      <c r="J12" s="14"/>
      <c r="K12" s="14"/>
    </row>
    <row r="13" customFormat="false" ht="13.8" hidden="false" customHeight="false" outlineLevel="0" collapsed="false">
      <c r="A13" s="11" t="s">
        <v>48</v>
      </c>
      <c r="B13" s="12" t="s">
        <v>49</v>
      </c>
      <c r="C13" s="14"/>
      <c r="D13" s="14"/>
      <c r="E13" s="15"/>
      <c r="F13" s="20"/>
      <c r="G13" s="14"/>
      <c r="H13" s="14"/>
      <c r="I13" s="14"/>
      <c r="J13" s="14"/>
      <c r="K13" s="14"/>
    </row>
    <row r="14" customFormat="false" ht="13.8" hidden="false" customHeight="false" outlineLevel="0" collapsed="false">
      <c r="A14" s="11" t="s">
        <v>50</v>
      </c>
      <c r="B14" s="12" t="s">
        <v>51</v>
      </c>
      <c r="C14" s="14"/>
      <c r="D14" s="14"/>
      <c r="E14" s="15"/>
      <c r="F14" s="20"/>
      <c r="G14" s="14"/>
      <c r="H14" s="14"/>
      <c r="I14" s="14"/>
      <c r="J14" s="14"/>
      <c r="K14" s="14"/>
    </row>
    <row r="15" customFormat="false" ht="13.8" hidden="false" customHeight="false" outlineLevel="0" collapsed="false">
      <c r="A15" s="11" t="s">
        <v>52</v>
      </c>
      <c r="B15" s="12" t="s">
        <v>53</v>
      </c>
      <c r="C15" s="14"/>
      <c r="D15" s="14"/>
      <c r="E15" s="15"/>
      <c r="F15" s="20"/>
      <c r="G15" s="14"/>
      <c r="H15" s="14"/>
      <c r="I15" s="14"/>
      <c r="J15" s="14"/>
      <c r="K15" s="14"/>
    </row>
    <row r="16" customFormat="false" ht="56.35" hidden="false" customHeight="false" outlineLevel="0" collapsed="false">
      <c r="A16" s="11" t="s">
        <v>54</v>
      </c>
      <c r="B16" s="12" t="s">
        <v>55</v>
      </c>
      <c r="C16" s="15" t="s">
        <v>56</v>
      </c>
      <c r="D16" s="15" t="s">
        <v>57</v>
      </c>
      <c r="E16" s="15" t="e">
        <f aca="false">F16/100/C16</f>
        <v>#VALUE!</v>
      </c>
      <c r="F16" s="16" t="s">
        <v>58</v>
      </c>
      <c r="G16" s="14" t="n">
        <f aca="false">SUM(H16:K16)</f>
        <v>0</v>
      </c>
      <c r="H16" s="18" t="s">
        <v>59</v>
      </c>
      <c r="I16" s="19" t="s">
        <v>60</v>
      </c>
      <c r="J16" s="19" t="s">
        <v>61</v>
      </c>
      <c r="K16" s="19" t="s">
        <v>62</v>
      </c>
    </row>
    <row r="17" customFormat="false" ht="25.35" hidden="false" customHeight="false" outlineLevel="0" collapsed="false">
      <c r="A17" s="21" t="s">
        <v>63</v>
      </c>
      <c r="B17" s="12" t="s">
        <v>64</v>
      </c>
      <c r="C17" s="14"/>
      <c r="D17" s="14"/>
      <c r="E17" s="14"/>
      <c r="F17" s="20"/>
      <c r="G17" s="14"/>
      <c r="H17" s="14"/>
      <c r="I17" s="14"/>
      <c r="J17" s="14"/>
      <c r="K17" s="14"/>
    </row>
    <row r="18" customFormat="false" ht="13.8" hidden="false" customHeight="false" outlineLevel="0" collapsed="false">
      <c r="A18" s="11" t="s">
        <v>65</v>
      </c>
      <c r="B18" s="12" t="s">
        <v>66</v>
      </c>
      <c r="C18" s="14"/>
      <c r="D18" s="14"/>
      <c r="E18" s="14"/>
      <c r="F18" s="20"/>
      <c r="G18" s="14"/>
      <c r="H18" s="14"/>
      <c r="I18" s="14"/>
      <c r="J18" s="14"/>
      <c r="K18" s="14"/>
    </row>
    <row r="19" customFormat="false" ht="13.8" hidden="false" customHeight="false" outlineLevel="0" collapsed="false">
      <c r="A19" s="11" t="s">
        <v>67</v>
      </c>
      <c r="B19" s="12" t="s">
        <v>68</v>
      </c>
      <c r="C19" s="14"/>
      <c r="D19" s="14"/>
      <c r="E19" s="14"/>
      <c r="F19" s="20"/>
      <c r="G19" s="14"/>
      <c r="H19" s="14"/>
      <c r="I19" s="14"/>
      <c r="J19" s="14"/>
      <c r="K19" s="14"/>
    </row>
    <row r="20" customFormat="false" ht="25.35" hidden="false" customHeight="false" outlineLevel="0" collapsed="false">
      <c r="A20" s="21" t="s">
        <v>69</v>
      </c>
      <c r="B20" s="12" t="s">
        <v>70</v>
      </c>
      <c r="C20" s="14"/>
      <c r="D20" s="14"/>
      <c r="E20" s="14"/>
      <c r="F20" s="20"/>
      <c r="G20" s="14"/>
      <c r="H20" s="14"/>
      <c r="I20" s="14"/>
      <c r="J20" s="14"/>
      <c r="K20" s="14"/>
    </row>
    <row r="21" customFormat="false" ht="13.8" hidden="false" customHeight="false" outlineLevel="0" collapsed="false">
      <c r="A21" s="11" t="s">
        <v>71</v>
      </c>
      <c r="B21" s="12" t="s">
        <v>72</v>
      </c>
      <c r="C21" s="14"/>
      <c r="D21" s="14"/>
      <c r="E21" s="14"/>
      <c r="F21" s="20"/>
      <c r="G21" s="14"/>
      <c r="H21" s="14"/>
      <c r="I21" s="14"/>
      <c r="J21" s="14"/>
      <c r="K21" s="14"/>
    </row>
    <row r="22" customFormat="false" ht="13.8" hidden="false" customHeight="false" outlineLevel="0" collapsed="false">
      <c r="A22" s="22" t="s">
        <v>73</v>
      </c>
      <c r="B22" s="23" t="s">
        <v>74</v>
      </c>
      <c r="C22" s="24"/>
      <c r="D22" s="24"/>
      <c r="E22" s="24"/>
      <c r="F22" s="20"/>
      <c r="G22" s="24"/>
      <c r="H22" s="24"/>
      <c r="I22" s="24"/>
      <c r="J22" s="24"/>
      <c r="K22" s="24"/>
    </row>
  </sheetData>
  <mergeCells count="12">
    <mergeCell ref="B1:B4"/>
    <mergeCell ref="C1:D1"/>
    <mergeCell ref="E1:E4"/>
    <mergeCell ref="F1:F4"/>
    <mergeCell ref="G1:K1"/>
    <mergeCell ref="A2:A4"/>
    <mergeCell ref="C2:C4"/>
    <mergeCell ref="D2:D4"/>
    <mergeCell ref="G2:G4"/>
    <mergeCell ref="H2:K2"/>
    <mergeCell ref="H3:H4"/>
    <mergeCell ref="I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Z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6" activeCellId="0" sqref="C6"/>
    </sheetView>
  </sheetViews>
  <sheetFormatPr defaultColWidth="9" defaultRowHeight="13.8" zeroHeight="false" outlineLevelRow="0" outlineLevelCol="0"/>
  <cols>
    <col collapsed="false" customWidth="true" hidden="false" outlineLevel="0" max="1" min="1" style="25" width="55.12"/>
    <col collapsed="false" customWidth="true" hidden="false" outlineLevel="0" max="2" min="2" style="25" width="9.13"/>
    <col collapsed="false" customWidth="true" hidden="false" outlineLevel="0" max="3" min="3" style="25" width="15.23"/>
    <col collapsed="false" customWidth="true" hidden="false" outlineLevel="0" max="4" min="4" style="25" width="17.54"/>
    <col collapsed="false" customWidth="true" hidden="false" outlineLevel="0" max="5" min="5" style="25" width="19.44"/>
    <col collapsed="false" customWidth="true" hidden="false" outlineLevel="0" max="6" min="6" style="25" width="15.04"/>
    <col collapsed="false" customWidth="true" hidden="false" outlineLevel="0" max="7" min="7" style="25" width="17.89"/>
    <col collapsed="false" customWidth="true" hidden="false" outlineLevel="0" max="8" min="8" style="25" width="12.26"/>
    <col collapsed="false" customWidth="true" hidden="false" outlineLevel="0" max="9" min="9" style="25" width="15.56"/>
    <col collapsed="false" customWidth="true" hidden="false" outlineLevel="0" max="10" min="10" style="25" width="14.4"/>
    <col collapsed="false" customWidth="false" hidden="false" outlineLevel="0" max="1013" min="11" style="25" width="9"/>
    <col collapsed="false" customWidth="true" hidden="false" outlineLevel="0" max="1024" min="1014" style="0" width="9.14"/>
  </cols>
  <sheetData>
    <row r="1" customFormat="false" ht="37.3" hidden="false" customHeight="true" outlineLevel="0" collapsed="false">
      <c r="A1" s="3" t="s">
        <v>0</v>
      </c>
      <c r="B1" s="3" t="s">
        <v>1</v>
      </c>
      <c r="C1" s="3" t="s">
        <v>2</v>
      </c>
      <c r="D1" s="3"/>
      <c r="E1" s="3" t="s">
        <v>3</v>
      </c>
      <c r="F1" s="26" t="s">
        <v>75</v>
      </c>
      <c r="G1" s="3" t="s">
        <v>76</v>
      </c>
      <c r="H1" s="3"/>
      <c r="I1" s="3"/>
      <c r="J1" s="3"/>
      <c r="K1" s="3"/>
      <c r="ALZ1" s="25"/>
    </row>
    <row r="2" customFormat="false" ht="13.8" hidden="false" customHeight="true" outlineLevel="0" collapsed="false">
      <c r="A2" s="3" t="s">
        <v>6</v>
      </c>
      <c r="B2" s="3"/>
      <c r="C2" s="3" t="s">
        <v>7</v>
      </c>
      <c r="D2" s="3" t="s">
        <v>8</v>
      </c>
      <c r="E2" s="3"/>
      <c r="F2" s="26"/>
      <c r="G2" s="3" t="s">
        <v>9</v>
      </c>
      <c r="H2" s="4" t="s">
        <v>10</v>
      </c>
      <c r="I2" s="4"/>
      <c r="J2" s="4"/>
      <c r="K2" s="4"/>
      <c r="ALZ2" s="25"/>
    </row>
    <row r="3" customFormat="false" ht="13.8" hidden="false" customHeight="true" outlineLevel="0" collapsed="false">
      <c r="A3" s="3"/>
      <c r="B3" s="3"/>
      <c r="C3" s="3"/>
      <c r="D3" s="3"/>
      <c r="E3" s="3"/>
      <c r="F3" s="26"/>
      <c r="G3" s="3"/>
      <c r="H3" s="3" t="s">
        <v>11</v>
      </c>
      <c r="I3" s="3" t="s">
        <v>12</v>
      </c>
      <c r="J3" s="3"/>
      <c r="K3" s="3"/>
      <c r="ALZ3" s="25"/>
    </row>
    <row r="4" customFormat="false" ht="63.2" hidden="false" customHeight="false" outlineLevel="0" collapsed="false">
      <c r="A4" s="3"/>
      <c r="B4" s="3"/>
      <c r="C4" s="3"/>
      <c r="D4" s="3"/>
      <c r="E4" s="3"/>
      <c r="F4" s="26"/>
      <c r="G4" s="3"/>
      <c r="H4" s="3"/>
      <c r="I4" s="3" t="s">
        <v>13</v>
      </c>
      <c r="J4" s="3" t="s">
        <v>14</v>
      </c>
      <c r="K4" s="3" t="s">
        <v>15</v>
      </c>
      <c r="ALZ4" s="25"/>
    </row>
    <row r="5" customFormat="false" ht="13.8" hidden="false" customHeight="false" outlineLevel="0" collapsed="false">
      <c r="A5" s="6" t="s">
        <v>16</v>
      </c>
      <c r="B5" s="6" t="s">
        <v>17</v>
      </c>
      <c r="C5" s="6" t="s">
        <v>18</v>
      </c>
      <c r="D5" s="6" t="s">
        <v>19</v>
      </c>
      <c r="E5" s="6" t="n">
        <v>5</v>
      </c>
      <c r="F5" s="27" t="n">
        <v>6</v>
      </c>
      <c r="G5" s="6" t="n">
        <v>7</v>
      </c>
      <c r="H5" s="6" t="n">
        <v>8</v>
      </c>
      <c r="I5" s="6" t="n">
        <v>9</v>
      </c>
      <c r="J5" s="6" t="n">
        <v>10</v>
      </c>
      <c r="K5" s="6" t="n">
        <v>11</v>
      </c>
      <c r="ALZ5" s="25"/>
    </row>
    <row r="6" customFormat="false" ht="25.35" hidden="false" customHeight="false" outlineLevel="0" collapsed="false">
      <c r="A6" s="11" t="s">
        <v>77</v>
      </c>
      <c r="B6" s="28" t="s">
        <v>78</v>
      </c>
      <c r="C6" s="29" t="e">
        <f aca="false">C10+C7</f>
        <v>#VALUE!</v>
      </c>
      <c r="D6" s="29" t="e">
        <f aca="false">D10+D7</f>
        <v>#VALUE!</v>
      </c>
      <c r="E6" s="29" t="e">
        <f aca="false">E10</f>
        <v>#VALUE!</v>
      </c>
      <c r="F6" s="29" t="e">
        <f aca="false">F10+F7</f>
        <v>#VALUE!</v>
      </c>
      <c r="G6" s="29" t="n">
        <f aca="false">G10+G7</f>
        <v>0</v>
      </c>
      <c r="H6" s="29" t="e">
        <f aca="false">H10+H7</f>
        <v>#VALUE!</v>
      </c>
      <c r="I6" s="29" t="e">
        <f aca="false">I10+I7</f>
        <v>#VALUE!</v>
      </c>
      <c r="J6" s="29" t="e">
        <f aca="false">J10+J7</f>
        <v>#VALUE!</v>
      </c>
      <c r="K6" s="29" t="e">
        <f aca="false">K10+K7</f>
        <v>#VALUE!</v>
      </c>
      <c r="ALZ6" s="25"/>
    </row>
    <row r="7" customFormat="false" ht="25.35" hidden="false" customHeight="false" outlineLevel="0" collapsed="false">
      <c r="A7" s="11" t="s">
        <v>79</v>
      </c>
      <c r="B7" s="30" t="s">
        <v>80</v>
      </c>
      <c r="C7" s="14"/>
      <c r="D7" s="15"/>
      <c r="E7" s="15"/>
      <c r="F7" s="31"/>
      <c r="G7" s="14"/>
      <c r="H7" s="18"/>
      <c r="I7" s="19"/>
      <c r="J7" s="19"/>
      <c r="K7" s="19"/>
      <c r="ALZ7" s="25"/>
    </row>
    <row r="8" customFormat="false" ht="13.8" hidden="false" customHeight="false" outlineLevel="0" collapsed="false">
      <c r="A8" s="11" t="s">
        <v>81</v>
      </c>
      <c r="B8" s="30" t="s">
        <v>82</v>
      </c>
      <c r="C8" s="14"/>
      <c r="D8" s="14"/>
      <c r="E8" s="14"/>
      <c r="F8" s="32"/>
      <c r="G8" s="14"/>
      <c r="H8" s="14"/>
      <c r="I8" s="14"/>
      <c r="J8" s="14"/>
      <c r="K8" s="14"/>
      <c r="ALZ8" s="25"/>
    </row>
    <row r="9" customFormat="false" ht="13.8" hidden="false" customHeight="false" outlineLevel="0" collapsed="false">
      <c r="A9" s="11" t="s">
        <v>83</v>
      </c>
      <c r="B9" s="30" t="s">
        <v>84</v>
      </c>
      <c r="C9" s="14"/>
      <c r="D9" s="14"/>
      <c r="E9" s="14"/>
      <c r="F9" s="32"/>
      <c r="G9" s="14"/>
      <c r="H9" s="14"/>
      <c r="I9" s="14"/>
      <c r="J9" s="14"/>
      <c r="K9" s="14"/>
      <c r="ALZ9" s="25"/>
    </row>
    <row r="10" customFormat="false" ht="82.05" hidden="false" customHeight="false" outlineLevel="0" collapsed="false">
      <c r="A10" s="11" t="s">
        <v>85</v>
      </c>
      <c r="B10" s="30" t="s">
        <v>86</v>
      </c>
      <c r="C10" s="33" t="s">
        <v>87</v>
      </c>
      <c r="D10" s="33" t="s">
        <v>88</v>
      </c>
      <c r="E10" s="33" t="e">
        <f aca="false">F10/100/C10</f>
        <v>#VALUE!</v>
      </c>
      <c r="F10" s="31" t="s">
        <v>89</v>
      </c>
      <c r="G10" s="14" t="n">
        <f aca="false">SUM(H10:K10)</f>
        <v>0</v>
      </c>
      <c r="H10" s="18" t="s">
        <v>90</v>
      </c>
      <c r="I10" s="19" t="s">
        <v>91</v>
      </c>
      <c r="J10" s="19" t="s">
        <v>92</v>
      </c>
      <c r="K10" s="19" t="s">
        <v>93</v>
      </c>
      <c r="ALZ10" s="25"/>
    </row>
    <row r="11" customFormat="false" ht="25.1" hidden="false" customHeight="false" outlineLevel="0" collapsed="false">
      <c r="A11" s="21" t="s">
        <v>94</v>
      </c>
      <c r="B11" s="30" t="s">
        <v>95</v>
      </c>
      <c r="C11" s="34"/>
      <c r="D11" s="34"/>
      <c r="E11" s="34"/>
      <c r="F11" s="27"/>
      <c r="G11" s="34"/>
      <c r="H11" s="34"/>
      <c r="I11" s="34"/>
      <c r="J11" s="34"/>
      <c r="K11" s="34"/>
      <c r="ALZ11" s="25"/>
    </row>
    <row r="12" customFormat="false" ht="25.1" hidden="false" customHeight="false" outlineLevel="0" collapsed="false">
      <c r="A12" s="11" t="s">
        <v>96</v>
      </c>
      <c r="B12" s="30" t="s">
        <v>97</v>
      </c>
      <c r="C12" s="34"/>
      <c r="D12" s="34"/>
      <c r="E12" s="34"/>
      <c r="F12" s="27"/>
      <c r="G12" s="34"/>
      <c r="H12" s="34"/>
      <c r="I12" s="34"/>
      <c r="J12" s="34"/>
      <c r="K12" s="34"/>
      <c r="ALZ12" s="25"/>
    </row>
    <row r="13" customFormat="false" ht="13.8" hidden="false" customHeight="false" outlineLevel="0" collapsed="false">
      <c r="A13" s="35" t="s">
        <v>98</v>
      </c>
      <c r="B13" s="36" t="s">
        <v>99</v>
      </c>
      <c r="C13" s="37"/>
      <c r="D13" s="37"/>
      <c r="E13" s="37"/>
      <c r="F13" s="27"/>
      <c r="G13" s="37"/>
      <c r="H13" s="37"/>
      <c r="I13" s="37"/>
      <c r="J13" s="37"/>
      <c r="K13" s="37"/>
      <c r="ALZ13" s="25"/>
    </row>
    <row r="14" customFormat="false" ht="25.1" hidden="false" customHeight="false" outlineLevel="0" collapsed="false">
      <c r="A14" s="35" t="s">
        <v>100</v>
      </c>
      <c r="B14" s="36" t="s">
        <v>101</v>
      </c>
      <c r="C14" s="37"/>
      <c r="D14" s="37"/>
      <c r="E14" s="37"/>
      <c r="F14" s="27"/>
      <c r="G14" s="37"/>
      <c r="H14" s="37"/>
      <c r="I14" s="37"/>
      <c r="J14" s="37"/>
      <c r="K14" s="37"/>
      <c r="ALZ14" s="25"/>
    </row>
    <row r="15" customFormat="false" ht="13.8" hidden="false" customHeight="false" outlineLevel="0" collapsed="false">
      <c r="A15" s="38" t="s">
        <v>102</v>
      </c>
      <c r="B15" s="36" t="s">
        <v>103</v>
      </c>
      <c r="C15" s="4"/>
      <c r="D15" s="4"/>
      <c r="E15" s="4"/>
      <c r="F15" s="27"/>
      <c r="G15" s="37"/>
      <c r="H15" s="37"/>
      <c r="I15" s="37"/>
      <c r="J15" s="37"/>
      <c r="K15" s="37"/>
      <c r="ALZ15" s="25"/>
    </row>
    <row r="16" customFormat="false" ht="13.8" hidden="false" customHeight="false" outlineLevel="0" collapsed="false">
      <c r="A16" s="38" t="s">
        <v>104</v>
      </c>
      <c r="B16" s="36" t="s">
        <v>105</v>
      </c>
      <c r="C16" s="4"/>
      <c r="D16" s="4"/>
      <c r="E16" s="4"/>
      <c r="F16" s="27"/>
      <c r="G16" s="37"/>
      <c r="H16" s="37"/>
      <c r="I16" s="37"/>
      <c r="J16" s="37"/>
      <c r="K16" s="37"/>
      <c r="ALZ16" s="25"/>
    </row>
    <row r="17" customFormat="false" ht="13.8" hidden="false" customHeight="false" outlineLevel="0" collapsed="false">
      <c r="A17" s="38" t="s">
        <v>106</v>
      </c>
      <c r="B17" s="36" t="s">
        <v>107</v>
      </c>
      <c r="C17" s="4"/>
      <c r="D17" s="4"/>
      <c r="E17" s="4"/>
      <c r="F17" s="27"/>
      <c r="G17" s="37"/>
      <c r="H17" s="37"/>
      <c r="I17" s="37"/>
      <c r="J17" s="37"/>
      <c r="K17" s="37"/>
      <c r="ALZ17" s="25"/>
    </row>
    <row r="18" customFormat="false" ht="13.8" hidden="false" customHeight="false" outlineLevel="0" collapsed="false">
      <c r="A18" s="35" t="s">
        <v>108</v>
      </c>
      <c r="B18" s="36" t="s">
        <v>109</v>
      </c>
      <c r="C18" s="37"/>
      <c r="D18" s="37"/>
      <c r="E18" s="37"/>
      <c r="F18" s="27"/>
      <c r="G18" s="37"/>
      <c r="H18" s="37"/>
      <c r="I18" s="37"/>
      <c r="J18" s="37"/>
      <c r="K18" s="37"/>
      <c r="ALZ18" s="25"/>
    </row>
    <row r="19" customFormat="false" ht="25.1" hidden="false" customHeight="false" outlineLevel="0" collapsed="false">
      <c r="A19" s="38" t="s">
        <v>110</v>
      </c>
      <c r="B19" s="36" t="s">
        <v>111</v>
      </c>
      <c r="C19" s="37"/>
      <c r="D19" s="37"/>
      <c r="E19" s="37"/>
      <c r="F19" s="27"/>
      <c r="G19" s="37"/>
      <c r="H19" s="37"/>
      <c r="I19" s="37"/>
      <c r="J19" s="37"/>
      <c r="K19" s="37"/>
      <c r="ALZ19" s="25"/>
    </row>
    <row r="20" customFormat="false" ht="13.8" hidden="false" customHeight="false" outlineLevel="0" collapsed="false">
      <c r="A20" s="38" t="s">
        <v>112</v>
      </c>
      <c r="B20" s="36" t="s">
        <v>113</v>
      </c>
      <c r="C20" s="37"/>
      <c r="D20" s="37"/>
      <c r="E20" s="37"/>
      <c r="F20" s="27"/>
      <c r="G20" s="37"/>
      <c r="H20" s="37"/>
      <c r="I20" s="37"/>
      <c r="J20" s="37"/>
      <c r="K20" s="37"/>
      <c r="ALZ20" s="25"/>
    </row>
    <row r="21" customFormat="false" ht="13.8" hidden="false" customHeight="false" outlineLevel="0" collapsed="false">
      <c r="A21" s="38" t="s">
        <v>114</v>
      </c>
      <c r="B21" s="36" t="s">
        <v>115</v>
      </c>
      <c r="C21" s="37"/>
      <c r="D21" s="37"/>
      <c r="E21" s="37"/>
      <c r="F21" s="27"/>
      <c r="G21" s="37"/>
      <c r="H21" s="37"/>
      <c r="I21" s="37"/>
      <c r="J21" s="37"/>
      <c r="K21" s="37"/>
      <c r="ALZ21" s="25"/>
    </row>
    <row r="22" customFormat="false" ht="13.8" hidden="false" customHeight="false" outlineLevel="0" collapsed="false">
      <c r="A22" s="38" t="s">
        <v>116</v>
      </c>
      <c r="B22" s="36" t="s">
        <v>117</v>
      </c>
      <c r="C22" s="37"/>
      <c r="D22" s="37"/>
      <c r="E22" s="37"/>
      <c r="F22" s="27"/>
      <c r="G22" s="37"/>
      <c r="H22" s="37"/>
      <c r="I22" s="37"/>
      <c r="J22" s="37"/>
      <c r="K22" s="37"/>
      <c r="ALZ22" s="25"/>
    </row>
    <row r="23" customFormat="false" ht="13.8" hidden="false" customHeight="false" outlineLevel="0" collapsed="false">
      <c r="A23" s="38" t="s">
        <v>118</v>
      </c>
      <c r="B23" s="36" t="s">
        <v>119</v>
      </c>
      <c r="C23" s="37"/>
      <c r="D23" s="37"/>
      <c r="E23" s="37"/>
      <c r="F23" s="27"/>
      <c r="G23" s="37"/>
      <c r="H23" s="37"/>
      <c r="I23" s="37"/>
      <c r="J23" s="37"/>
      <c r="K23" s="37"/>
      <c r="ALZ23" s="25"/>
    </row>
    <row r="24" customFormat="false" ht="13.8" hidden="false" customHeight="false" outlineLevel="0" collapsed="false">
      <c r="A24" s="38" t="s">
        <v>120</v>
      </c>
      <c r="B24" s="36" t="s">
        <v>121</v>
      </c>
      <c r="C24" s="37"/>
      <c r="D24" s="37"/>
      <c r="E24" s="37"/>
      <c r="F24" s="27"/>
      <c r="G24" s="37"/>
      <c r="H24" s="37"/>
      <c r="I24" s="37"/>
      <c r="J24" s="37"/>
      <c r="K24" s="37"/>
      <c r="ALZ24" s="25"/>
    </row>
    <row r="25" customFormat="false" ht="13.8" hidden="false" customHeight="false" outlineLevel="0" collapsed="false">
      <c r="A25" s="38" t="s">
        <v>122</v>
      </c>
      <c r="B25" s="36" t="s">
        <v>123</v>
      </c>
      <c r="C25" s="37"/>
      <c r="D25" s="37"/>
      <c r="E25" s="37"/>
      <c r="F25" s="27"/>
      <c r="G25" s="37"/>
      <c r="H25" s="37"/>
      <c r="I25" s="37"/>
      <c r="J25" s="37"/>
      <c r="K25" s="37"/>
      <c r="ALZ25" s="25"/>
    </row>
    <row r="26" customFormat="false" ht="13.8" hidden="false" customHeight="false" outlineLevel="0" collapsed="false">
      <c r="A26" s="38" t="s">
        <v>124</v>
      </c>
      <c r="B26" s="36" t="s">
        <v>125</v>
      </c>
      <c r="C26" s="37"/>
      <c r="D26" s="37"/>
      <c r="E26" s="37"/>
      <c r="F26" s="27"/>
      <c r="G26" s="37"/>
      <c r="H26" s="37"/>
      <c r="I26" s="37"/>
      <c r="J26" s="37"/>
      <c r="K26" s="37"/>
      <c r="ALZ26" s="25"/>
    </row>
    <row r="27" customFormat="false" ht="13.8" hidden="false" customHeight="false" outlineLevel="0" collapsed="false">
      <c r="A27" s="35" t="s">
        <v>126</v>
      </c>
      <c r="B27" s="36" t="s">
        <v>127</v>
      </c>
      <c r="C27" s="37"/>
      <c r="D27" s="37"/>
      <c r="E27" s="37"/>
      <c r="F27" s="27"/>
      <c r="G27" s="37"/>
      <c r="H27" s="37"/>
      <c r="I27" s="37"/>
      <c r="J27" s="37"/>
      <c r="K27" s="37"/>
      <c r="ALZ27" s="25"/>
    </row>
    <row r="28" customFormat="false" ht="13.8" hidden="false" customHeight="false" outlineLevel="0" collapsed="false">
      <c r="A28" s="39" t="s">
        <v>128</v>
      </c>
      <c r="B28" s="36" t="s">
        <v>129</v>
      </c>
      <c r="C28" s="37"/>
      <c r="D28" s="37"/>
      <c r="E28" s="37"/>
      <c r="F28" s="27"/>
      <c r="G28" s="37"/>
      <c r="H28" s="37"/>
      <c r="I28" s="37"/>
      <c r="J28" s="37"/>
      <c r="K28" s="37"/>
      <c r="ALZ28" s="25"/>
    </row>
    <row r="29" customFormat="false" ht="13.8" hidden="false" customHeight="false" outlineLevel="0" collapsed="false">
      <c r="A29" s="35" t="s">
        <v>130</v>
      </c>
      <c r="B29" s="36" t="s">
        <v>131</v>
      </c>
      <c r="C29" s="37"/>
      <c r="D29" s="37"/>
      <c r="E29" s="37"/>
      <c r="F29" s="27"/>
      <c r="G29" s="37"/>
      <c r="H29" s="37"/>
      <c r="I29" s="37"/>
      <c r="J29" s="37"/>
      <c r="K29" s="37"/>
      <c r="ALZ29" s="25"/>
    </row>
    <row r="30" customFormat="false" ht="13.8" hidden="false" customHeight="false" outlineLevel="0" collapsed="false">
      <c r="A30" s="39" t="s">
        <v>132</v>
      </c>
      <c r="B30" s="36" t="s">
        <v>133</v>
      </c>
      <c r="C30" s="37"/>
      <c r="D30" s="37"/>
      <c r="E30" s="37"/>
      <c r="F30" s="27"/>
      <c r="G30" s="37"/>
      <c r="H30" s="37"/>
      <c r="I30" s="37"/>
      <c r="J30" s="37"/>
      <c r="K30" s="37"/>
      <c r="ALZ30" s="25"/>
    </row>
    <row r="31" customFormat="false" ht="13.8" hidden="false" customHeight="false" outlineLevel="0" collapsed="false">
      <c r="A31" s="35" t="s">
        <v>134</v>
      </c>
      <c r="B31" s="36" t="s">
        <v>135</v>
      </c>
      <c r="C31" s="37"/>
      <c r="D31" s="37"/>
      <c r="E31" s="37"/>
      <c r="F31" s="27"/>
      <c r="G31" s="37"/>
      <c r="H31" s="37"/>
      <c r="I31" s="37"/>
      <c r="J31" s="37"/>
      <c r="K31" s="37"/>
      <c r="ALZ31" s="25"/>
    </row>
    <row r="32" customFormat="false" ht="37.3" hidden="false" customHeight="false" outlineLevel="0" collapsed="false">
      <c r="A32" s="35" t="s">
        <v>136</v>
      </c>
      <c r="B32" s="40" t="s">
        <v>137</v>
      </c>
      <c r="C32" s="41"/>
      <c r="D32" s="41"/>
      <c r="E32" s="41"/>
      <c r="F32" s="27"/>
      <c r="G32" s="41"/>
      <c r="H32" s="41"/>
      <c r="I32" s="41"/>
      <c r="J32" s="41"/>
      <c r="K32" s="41"/>
      <c r="ALZ32" s="25"/>
    </row>
  </sheetData>
  <mergeCells count="12">
    <mergeCell ref="B1:B4"/>
    <mergeCell ref="C1:D1"/>
    <mergeCell ref="E1:E4"/>
    <mergeCell ref="F1:F4"/>
    <mergeCell ref="G1:K1"/>
    <mergeCell ref="A2:A4"/>
    <mergeCell ref="C2:C4"/>
    <mergeCell ref="D2:D4"/>
    <mergeCell ref="G2:G4"/>
    <mergeCell ref="H2:K2"/>
    <mergeCell ref="H3:H4"/>
    <mergeCell ref="I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2026-06-07T12:09:49Z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