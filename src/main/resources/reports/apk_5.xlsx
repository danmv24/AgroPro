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5.1" sheetId="1" state="visible" r:id="rId2"/>
    <sheet name="5.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3" authorId="0">
      <text>
        <r>
          <rPr>
            <sz val="11"/>
            <color rgb="FF000000"/>
            <rFont val="Calibri"/>
            <family val="2"/>
            <charset val="1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jx:area(lastCell="E26")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" authorId="0">
      <text>
        <r>
          <rPr>
            <sz val="11"/>
            <color rgb="FF000000"/>
            <rFont val="Calibri"/>
            <family val="2"/>
            <charset val="1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jx:area(lastCell="D28")</t>
        </r>
      </text>
    </comment>
  </commentList>
</comments>
</file>

<file path=xl/sharedStrings.xml><?xml version="1.0" encoding="utf-8"?>
<sst xmlns="http://schemas.openxmlformats.org/spreadsheetml/2006/main" count="104" uniqueCount="81">
  <si>
    <t xml:space="preserve">Наименование показателя</t>
  </si>
  <si>
    <t xml:space="preserve">Коды</t>
  </si>
  <si>
    <t xml:space="preserve">Численность, чел</t>
  </si>
  <si>
    <t xml:space="preserve">Начислено за год заработной платы, тыс руб</t>
  </si>
  <si>
    <t xml:space="preserve">Выплаты социального характера, 
тыс руб</t>
  </si>
  <si>
    <t xml:space="preserve">По организации – всего
(стр. 51100 + 51200 + 51300 + 51400 + 51500 + 51600 + 51700)</t>
  </si>
  <si>
    <t xml:space="preserve">Работники, занятые в сельскохозяйственном производстве, - всего (стр. 51110 + 51120 + 51130 + 51140)</t>
  </si>
  <si>
    <t xml:space="preserve">в том числе:
рабочие постоянные</t>
  </si>
  <si>
    <t xml:space="preserve">из них: 
трактористы-машинисты</t>
  </si>
  <si>
    <t xml:space="preserve">${machine_operator.count}</t>
  </si>
  <si>
    <t xml:space="preserve">${machine_operator.totalSalary}</t>
  </si>
  <si>
    <t xml:space="preserve">операторы машинного доения, дояры</t>
  </si>
  <si>
    <t xml:space="preserve">животноводы</t>
  </si>
  <si>
    <t xml:space="preserve">свиноводы</t>
  </si>
  <si>
    <t xml:space="preserve">чабаны</t>
  </si>
  <si>
    <t xml:space="preserve">птицеводы</t>
  </si>
  <si>
    <t xml:space="preserve">коневоды</t>
  </si>
  <si>
    <t xml:space="preserve">оленеводы</t>
  </si>
  <si>
    <t xml:space="preserve">на сезонных работах и временные</t>
  </si>
  <si>
    <t xml:space="preserve">служащие</t>
  </si>
  <si>
    <t xml:space="preserve">из них:  
руководители</t>
  </si>
  <si>
    <t xml:space="preserve">${general_director.count}</t>
  </si>
  <si>
    <t xml:space="preserve">${general_director.totalSalary}</t>
  </si>
  <si>
    <t xml:space="preserve">специалисты          </t>
  </si>
  <si>
    <t xml:space="preserve">${agronomist.count}</t>
  </si>
  <si>
    <t xml:space="preserve">${agronomist.totalSalary}</t>
  </si>
  <si>
    <r>
      <rPr>
        <sz val="11"/>
        <color rgb="FF000000"/>
        <rFont val="Calibri"/>
        <family val="2"/>
        <charset val="1"/>
      </rPr>
      <t xml:space="preserve">${expense_52600.</t>
    </r>
    <r>
      <rPr>
        <sz val="10"/>
        <color rgb="FF1C1C1C"/>
        <rFont val="JetBrains Mono"/>
        <family val="3"/>
        <charset val="1"/>
      </rPr>
      <t xml:space="preserve">totalAmount</t>
    </r>
    <r>
      <rPr>
        <sz val="11"/>
        <color rgb="FF000000"/>
        <rFont val="Calibri"/>
        <family val="2"/>
        <charset val="1"/>
      </rPr>
      <t xml:space="preserve">}</t>
    </r>
  </si>
  <si>
    <t xml:space="preserve">работники списочного состава других предприятий, учреждений и организаций, привлеченных 
на сельскохозяйственные работы</t>
  </si>
  <si>
    <t xml:space="preserve">X</t>
  </si>
  <si>
    <t xml:space="preserve">Работники, занятые в подсобных промышленных предприятиях 
и промыслах</t>
  </si>
  <si>
    <t xml:space="preserve">в том числе:  
работники, занятые в переработке сельскохозяйственной продукции собственного производства</t>
  </si>
  <si>
    <t xml:space="preserve">${technologist.count}</t>
  </si>
  <si>
    <t xml:space="preserve">${technologist.totalSalary}</t>
  </si>
  <si>
    <t xml:space="preserve">Работники жилищно-коммунального хозяйства 
и культурно-бытовых учреждений</t>
  </si>
  <si>
    <t xml:space="preserve">Работники торговли и общественного питания</t>
  </si>
  <si>
    <t xml:space="preserve">Работники, занятые на строительстве хозяйственным способом</t>
  </si>
  <si>
    <t xml:space="preserve">Работники детских учреждений, учебных заведений 
и курсов при хозяйстве</t>
  </si>
  <si>
    <t xml:space="preserve">Работники, занятые прочими видами деятельности</t>
  </si>
  <si>
    <t xml:space="preserve">За отчетный год</t>
  </si>
  <si>
    <t xml:space="preserve">1. Отработано работниками, занятыми во всех отраслях, - всего</t>
  </si>
  <si>
    <t xml:space="preserve">тыс. чел. дн</t>
  </si>
  <si>
    <t xml:space="preserve">чел. ч</t>
  </si>
  <si>
    <t xml:space="preserve">${total_working_hours}</t>
  </si>
  <si>
    <t xml:space="preserve">2. Отработано на сельскохозяйственных работах привлеченными работниками</t>
  </si>
  <si>
    <t xml:space="preserve">3. Состоит по списку работников на конец года - всего</t>
  </si>
  <si>
    <t xml:space="preserve"> чел</t>
  </si>
  <si>
    <t xml:space="preserve">${total_employees}</t>
  </si>
  <si>
    <t xml:space="preserve">в том числе: численность женщин                      </t>
  </si>
  <si>
    <t xml:space="preserve">${female_employees}</t>
  </si>
  <si>
    <t xml:space="preserve">4. Из общей суммы начисленной заработной платы за год - всего 
(стр. 52410 + 52420 + 52430 + 52440 + 52450 + 52490): </t>
  </si>
  <si>
    <t xml:space="preserve">тыс. руб</t>
  </si>
  <si>
    <t xml:space="preserve">в том числе:
оплата по тарифным ставкам, окладам, сдельным расценкам 
(без отпускных, доплат и надбавок)</t>
  </si>
  <si>
    <r>
      <rPr>
        <sz val="12"/>
        <color rgb="FF000000"/>
        <rFont val="Calibri"/>
        <family val="2"/>
        <charset val="1"/>
      </rPr>
      <t xml:space="preserve">${expense_52410.</t>
    </r>
    <r>
      <rPr>
        <sz val="10"/>
        <color rgb="FF1C1C1C"/>
        <rFont val="JetBrains Mono"/>
        <family val="3"/>
        <charset val="1"/>
      </rPr>
      <t xml:space="preserve">totalAmount</t>
    </r>
    <r>
      <rPr>
        <sz val="12"/>
        <color rgb="FF000000"/>
        <rFont val="Calibri"/>
        <family val="2"/>
        <charset val="1"/>
      </rPr>
      <t xml:space="preserve">}</t>
    </r>
  </si>
  <si>
    <t xml:space="preserve">из нее: по натуральной форме оплаты</t>
  </si>
  <si>
    <t xml:space="preserve">о</t>
  </si>
  <si>
    <t xml:space="preserve">премии за счет всех источников, включая вознаграждения по итогам работы 
за год</t>
  </si>
  <si>
    <r>
      <rPr>
        <sz val="11"/>
        <color rgb="FF000000"/>
        <rFont val="Calibri"/>
        <family val="2"/>
        <charset val="1"/>
      </rPr>
      <t xml:space="preserve">${expense_52420.</t>
    </r>
    <r>
      <rPr>
        <sz val="10"/>
        <color rgb="FF1C1C1C"/>
        <rFont val="JetBrains Mono"/>
        <family val="3"/>
        <charset val="1"/>
      </rPr>
      <t xml:space="preserve">totalAmount</t>
    </r>
    <r>
      <rPr>
        <sz val="11"/>
        <color rgb="FF000000"/>
        <rFont val="Calibri"/>
        <family val="2"/>
        <charset val="1"/>
      </rPr>
      <t xml:space="preserve">}</t>
    </r>
  </si>
  <si>
    <t xml:space="preserve">оплата отпусков</t>
  </si>
  <si>
    <r>
      <rPr>
        <sz val="11"/>
        <color rgb="FF000000"/>
        <rFont val="Calibri"/>
        <family val="2"/>
        <charset val="1"/>
      </rPr>
      <t xml:space="preserve">${expense_52430.</t>
    </r>
    <r>
      <rPr>
        <sz val="10"/>
        <color rgb="FF1C1C1C"/>
        <rFont val="JetBrains Mono"/>
        <family val="3"/>
        <charset val="1"/>
      </rPr>
      <t xml:space="preserve">totalAmount</t>
    </r>
    <r>
      <rPr>
        <sz val="11"/>
        <color rgb="FF000000"/>
        <rFont val="Calibri"/>
        <family val="2"/>
        <charset val="1"/>
      </rPr>
      <t xml:space="preserve">}</t>
    </r>
  </si>
  <si>
    <t xml:space="preserve">оплата стоимости питания работников             </t>
  </si>
  <si>
    <t xml:space="preserve">районные коэффициенты и процентные надбавки (за выслугу лет, стаж работы)</t>
  </si>
  <si>
    <t xml:space="preserve">прочее</t>
  </si>
  <si>
    <r>
      <rPr>
        <sz val="11"/>
        <color rgb="FF000000"/>
        <rFont val="Calibri"/>
        <family val="2"/>
        <charset val="1"/>
      </rPr>
      <t xml:space="preserve">${expense_52490.</t>
    </r>
    <r>
      <rPr>
        <sz val="10"/>
        <color rgb="FF1C1C1C"/>
        <rFont val="JetBrains Mono"/>
        <family val="3"/>
        <charset val="1"/>
      </rPr>
      <t xml:space="preserve">totalAmount</t>
    </r>
    <r>
      <rPr>
        <sz val="11"/>
        <color rgb="FF000000"/>
        <rFont val="Calibri"/>
        <family val="2"/>
        <charset val="1"/>
      </rPr>
      <t xml:space="preserve">}</t>
    </r>
  </si>
  <si>
    <t xml:space="preserve">5. Численнность работников, получающих заработную плату ниже минимального размера оплаты труда</t>
  </si>
  <si>
    <t xml:space="preserve">чел</t>
  </si>
  <si>
    <t xml:space="preserve">6. Материальная помощь</t>
  </si>
  <si>
    <t xml:space="preserve">7. Распределение затрат труда по отраслям производства и видам деятельности: отработано за отчетный год работниками, занятыми в сельскохозяйственном производстве (код 51100), и работниками, занятыми в подсобных промышленных предприятиях и промыслах (код 51200), - всего 
(стр. 52701 + 52702 + 52703 + 52704 + 52705 + 52706 + 52707 + 52708 + 52709 + 52710)</t>
  </si>
  <si>
    <t xml:space="preserve">тыс. чел. ч</t>
  </si>
  <si>
    <t xml:space="preserve">в том числе: 
в растениеводстве (включая затраты отчетного года и будущих лет)</t>
  </si>
  <si>
    <r>
      <rPr>
        <sz val="11"/>
        <rFont val="Times New Roman"/>
        <family val="1"/>
        <charset val="204"/>
      </rPr>
      <t xml:space="preserve">${plowing.totalHours + cultivation</t>
    </r>
    <r>
      <rPr>
        <sz val="11"/>
        <rFont val="Times New Roman"/>
        <family val="1"/>
        <charset val="1"/>
      </rPr>
      <t xml:space="preserve">.totalHours + harrowing.totalHours + sowing.totalHours + fertilizing.totalHours + harvesting.totalHours + watering.totalHours}</t>
    </r>
  </si>
  <si>
    <t xml:space="preserve">в животноводстве (включая птицеводство, рыбоводство и звероводство)</t>
  </si>
  <si>
    <t xml:space="preserve">на общепроизводственных работах по растениеводству</t>
  </si>
  <si>
    <t xml:space="preserve">на общепроизводственных работах по животноводству</t>
  </si>
  <si>
    <t xml:space="preserve">в промышленном производстве, в ремонтных мастерских, на электроснабжении 
и водоснабжении</t>
  </si>
  <si>
    <t xml:space="preserve">при оказании работниками основной деятельности услуг по капитальному строительству (без услуг по закладке и выращиванию многолетних насаждений)</t>
  </si>
  <si>
    <t xml:space="preserve">при оказании работниками основной деятельности услуг по закладке 
и выращиванию многолетних насаждений</t>
  </si>
  <si>
    <t xml:space="preserve">${gardening_work.totalHours}</t>
  </si>
  <si>
    <t xml:space="preserve">затраты труда, связанные с реализацией продукции и оказанием услуг на сторону 
и прочих услуг</t>
  </si>
  <si>
    <t xml:space="preserve">затраты труда на грузовом автотранспорте, транспортных работах тракторов, живой тягловой силе</t>
  </si>
  <si>
    <t xml:space="preserve">затраты труда, отнесенные на общехозяйственные расходы</t>
  </si>
  <si>
    <t xml:space="preserve">${general_work.totalHours}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</si>
</sst>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00"/>
    <numFmt numFmtId="167" formatCode="#,##0"/>
    <numFmt numFmtId="168" formatCode="[=0]\-;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1"/>
      <name val="Times New Roman"/>
      <family val="1"/>
      <charset val="1"/>
    </font>
    <font>
      <sz val="10"/>
      <color rgb="FF1C1C1C"/>
      <name val="JetBrains Mono"/>
      <family val="3"/>
      <charset val="1"/>
    </font>
    <font>
      <sz val="10"/>
      <name val="Times New Roman"/>
      <family val="1"/>
      <charset val="204"/>
    </font>
    <font>
      <sz val="9"/>
      <color rgb="FF000000"/>
      <name val="Tahoma"/>
      <family val="2"/>
      <charset val="204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6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1" sqref="E4:E28 I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8.75"/>
    <col collapsed="false" customWidth="true" hidden="false" outlineLevel="0" max="3" min="3" style="0" width="27.66"/>
    <col collapsed="false" customWidth="true" hidden="false" outlineLevel="0" max="4" min="4" style="0" width="24.47"/>
    <col collapsed="false" customWidth="true" hidden="false" outlineLevel="0" max="5" min="5" style="0" width="26.24"/>
  </cols>
  <sheetData>
    <row r="1" customFormat="false" ht="42.7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</row>
    <row r="2" customFormat="false" ht="14.25" hidden="false" customHeight="false" outlineLevel="0" collapsed="false">
      <c r="A2" s="6" t="n">
        <v>1</v>
      </c>
      <c r="B2" s="7" t="n">
        <v>2</v>
      </c>
      <c r="C2" s="7" t="n">
        <v>3</v>
      </c>
      <c r="D2" s="7" t="n">
        <v>4</v>
      </c>
      <c r="E2" s="8" t="n">
        <v>5</v>
      </c>
      <c r="F2" s="9"/>
      <c r="G2" s="9"/>
    </row>
    <row r="3" customFormat="false" ht="30" hidden="false" customHeight="true" outlineLevel="0" collapsed="false">
      <c r="A3" s="10" t="s">
        <v>5</v>
      </c>
      <c r="B3" s="11" t="n">
        <v>51000</v>
      </c>
      <c r="C3" s="12" t="e">
        <f aca="false">C4+C19</f>
        <v>#VALUE!</v>
      </c>
      <c r="D3" s="12" t="e">
        <f aca="false">D4+D19</f>
        <v>#VALUE!</v>
      </c>
      <c r="E3" s="12" t="str">
        <f aca="false">E4</f>
        <v>${expense_52600.totalAmount}</v>
      </c>
      <c r="F3" s="13"/>
      <c r="G3" s="13"/>
    </row>
    <row r="4" customFormat="false" ht="30.75" hidden="false" customHeight="true" outlineLevel="0" collapsed="false">
      <c r="A4" s="14" t="s">
        <v>6</v>
      </c>
      <c r="B4" s="15" t="n">
        <v>51100</v>
      </c>
      <c r="C4" s="16" t="e">
        <f aca="false">C5+C6+C15+C16+C17</f>
        <v>#VALUE!</v>
      </c>
      <c r="D4" s="16" t="e">
        <f aca="false">D5+D6+D15+D16+D17</f>
        <v>#VALUE!</v>
      </c>
      <c r="E4" s="16" t="str">
        <f aca="false">E15</f>
        <v>${expense_52600.totalAmount}</v>
      </c>
      <c r="F4" s="9"/>
      <c r="G4" s="9"/>
    </row>
    <row r="5" customFormat="false" ht="25.35" hidden="false" customHeight="false" outlineLevel="0" collapsed="false">
      <c r="A5" s="17" t="s">
        <v>7</v>
      </c>
      <c r="B5" s="15" t="n">
        <v>51110</v>
      </c>
      <c r="C5" s="16"/>
      <c r="D5" s="16"/>
      <c r="E5" s="18"/>
      <c r="F5" s="9"/>
      <c r="G5" s="9"/>
    </row>
    <row r="6" customFormat="false" ht="25.35" hidden="false" customHeight="false" outlineLevel="0" collapsed="false">
      <c r="A6" s="19" t="s">
        <v>8</v>
      </c>
      <c r="B6" s="15" t="n">
        <v>51111</v>
      </c>
      <c r="C6" s="16" t="s">
        <v>9</v>
      </c>
      <c r="D6" s="16" t="s">
        <v>10</v>
      </c>
      <c r="E6" s="18"/>
      <c r="F6" s="9"/>
      <c r="G6" s="9"/>
    </row>
    <row r="7" customFormat="false" ht="13.8" hidden="false" customHeight="false" outlineLevel="0" collapsed="false">
      <c r="A7" s="19" t="s">
        <v>11</v>
      </c>
      <c r="B7" s="15" t="n">
        <v>51112</v>
      </c>
      <c r="C7" s="20"/>
      <c r="D7" s="16"/>
      <c r="E7" s="18"/>
      <c r="F7" s="9"/>
      <c r="G7" s="9"/>
    </row>
    <row r="8" customFormat="false" ht="13.8" hidden="false" customHeight="false" outlineLevel="0" collapsed="false">
      <c r="A8" s="19" t="s">
        <v>12</v>
      </c>
      <c r="B8" s="15" t="n">
        <v>51113</v>
      </c>
      <c r="C8" s="20"/>
      <c r="D8" s="16"/>
      <c r="E8" s="18"/>
      <c r="F8" s="9"/>
      <c r="G8" s="9"/>
    </row>
    <row r="9" customFormat="false" ht="13.8" hidden="false" customHeight="false" outlineLevel="0" collapsed="false">
      <c r="A9" s="19" t="s">
        <v>13</v>
      </c>
      <c r="B9" s="15" t="n">
        <v>51114</v>
      </c>
      <c r="C9" s="20"/>
      <c r="D9" s="16"/>
      <c r="E9" s="21"/>
      <c r="F9" s="22"/>
      <c r="G9" s="22"/>
    </row>
    <row r="10" customFormat="false" ht="13.8" hidden="false" customHeight="false" outlineLevel="0" collapsed="false">
      <c r="A10" s="19" t="s">
        <v>14</v>
      </c>
      <c r="B10" s="15" t="n">
        <v>51115</v>
      </c>
      <c r="C10" s="20"/>
      <c r="D10" s="20"/>
      <c r="E10" s="21"/>
      <c r="F10" s="22"/>
      <c r="G10" s="22"/>
    </row>
    <row r="11" customFormat="false" ht="13.8" hidden="false" customHeight="false" outlineLevel="0" collapsed="false">
      <c r="A11" s="19" t="s">
        <v>15</v>
      </c>
      <c r="B11" s="15" t="n">
        <v>51116</v>
      </c>
      <c r="C11" s="20"/>
      <c r="D11" s="16"/>
      <c r="E11" s="21"/>
      <c r="F11" s="22"/>
      <c r="G11" s="22"/>
    </row>
    <row r="12" customFormat="false" ht="13.8" hidden="false" customHeight="false" outlineLevel="0" collapsed="false">
      <c r="A12" s="19" t="s">
        <v>16</v>
      </c>
      <c r="B12" s="15" t="n">
        <v>51117</v>
      </c>
      <c r="C12" s="20"/>
      <c r="D12" s="20"/>
      <c r="E12" s="21"/>
      <c r="F12" s="22"/>
      <c r="G12" s="22"/>
    </row>
    <row r="13" customFormat="false" ht="13.8" hidden="false" customHeight="false" outlineLevel="0" collapsed="false">
      <c r="A13" s="19" t="s">
        <v>17</v>
      </c>
      <c r="B13" s="15" t="n">
        <v>51118</v>
      </c>
      <c r="C13" s="23"/>
      <c r="D13" s="24"/>
      <c r="E13" s="21"/>
      <c r="F13" s="22"/>
      <c r="G13" s="22"/>
    </row>
    <row r="14" customFormat="false" ht="13.8" hidden="false" customHeight="false" outlineLevel="0" collapsed="false">
      <c r="A14" s="17" t="s">
        <v>18</v>
      </c>
      <c r="B14" s="15" t="n">
        <v>51120</v>
      </c>
      <c r="C14" s="20"/>
      <c r="D14" s="16"/>
      <c r="E14" s="21"/>
      <c r="F14" s="22"/>
      <c r="G14" s="22"/>
    </row>
    <row r="15" customFormat="false" ht="13.8" hidden="false" customHeight="false" outlineLevel="0" collapsed="false">
      <c r="A15" s="17" t="s">
        <v>19</v>
      </c>
      <c r="B15" s="15" t="n">
        <v>51130</v>
      </c>
      <c r="C15" s="16" t="e">
        <f aca="false">C16+C17</f>
        <v>#VALUE!</v>
      </c>
      <c r="D15" s="16" t="e">
        <f aca="false">D16+D17</f>
        <v>#VALUE!</v>
      </c>
      <c r="E15" s="18" t="str">
        <f aca="false">E17</f>
        <v>${expense_52600.totalAmount}</v>
      </c>
      <c r="F15" s="9"/>
      <c r="G15" s="9"/>
    </row>
    <row r="16" customFormat="false" ht="25.35" hidden="false" customHeight="false" outlineLevel="0" collapsed="false">
      <c r="A16" s="19" t="s">
        <v>20</v>
      </c>
      <c r="B16" s="15" t="n">
        <v>51131</v>
      </c>
      <c r="C16" s="20" t="s">
        <v>21</v>
      </c>
      <c r="D16" s="25" t="s">
        <v>22</v>
      </c>
      <c r="E16" s="18"/>
      <c r="F16" s="9"/>
      <c r="G16" s="9"/>
    </row>
    <row r="17" customFormat="false" ht="14.9" hidden="false" customHeight="false" outlineLevel="0" collapsed="false">
      <c r="A17" s="19" t="s">
        <v>23</v>
      </c>
      <c r="B17" s="15" t="n">
        <v>51132</v>
      </c>
      <c r="C17" s="20" t="s">
        <v>24</v>
      </c>
      <c r="D17" s="25" t="s">
        <v>25</v>
      </c>
      <c r="E17" s="26" t="s">
        <v>26</v>
      </c>
      <c r="F17" s="9"/>
      <c r="G17" s="9"/>
    </row>
    <row r="18" customFormat="false" ht="42.75" hidden="false" customHeight="false" outlineLevel="0" collapsed="false">
      <c r="A18" s="17" t="s">
        <v>27</v>
      </c>
      <c r="B18" s="15" t="n">
        <v>51140</v>
      </c>
      <c r="C18" s="27" t="s">
        <v>28</v>
      </c>
      <c r="D18" s="20"/>
      <c r="E18" s="21"/>
      <c r="F18" s="22"/>
      <c r="G18" s="22"/>
    </row>
    <row r="19" customFormat="false" ht="42.75" hidden="false" customHeight="false" outlineLevel="0" collapsed="false">
      <c r="A19" s="14" t="s">
        <v>29</v>
      </c>
      <c r="B19" s="15" t="n">
        <v>51200</v>
      </c>
      <c r="C19" s="16" t="str">
        <f aca="false">C20</f>
        <v>${technologist.count}</v>
      </c>
      <c r="D19" s="16" t="str">
        <f aca="false">D20</f>
        <v>${technologist.totalSalary}</v>
      </c>
      <c r="E19" s="18"/>
      <c r="F19" s="9"/>
      <c r="G19" s="9"/>
    </row>
    <row r="20" customFormat="false" ht="63" hidden="false" customHeight="true" outlineLevel="0" collapsed="false">
      <c r="A20" s="17" t="s">
        <v>30</v>
      </c>
      <c r="B20" s="15" t="n">
        <v>51210</v>
      </c>
      <c r="C20" s="16" t="s">
        <v>31</v>
      </c>
      <c r="D20" s="25" t="s">
        <v>32</v>
      </c>
      <c r="E20" s="18"/>
      <c r="F20" s="9"/>
      <c r="G20" s="9"/>
    </row>
    <row r="21" customFormat="false" ht="28.5" hidden="false" customHeight="false" outlineLevel="0" collapsed="false">
      <c r="A21" s="14" t="s">
        <v>33</v>
      </c>
      <c r="B21" s="15" t="n">
        <v>51300</v>
      </c>
      <c r="C21" s="16"/>
      <c r="D21" s="16"/>
      <c r="E21" s="18"/>
      <c r="F21" s="9"/>
      <c r="G21" s="9"/>
    </row>
    <row r="22" customFormat="false" ht="14.25" hidden="false" customHeight="false" outlineLevel="0" collapsed="false">
      <c r="A22" s="14" t="s">
        <v>34</v>
      </c>
      <c r="B22" s="15" t="n">
        <v>51400</v>
      </c>
      <c r="C22" s="16"/>
      <c r="D22" s="16"/>
      <c r="E22" s="18"/>
      <c r="F22" s="9"/>
      <c r="G22" s="9"/>
    </row>
    <row r="23" customFormat="false" ht="28.5" hidden="false" customHeight="false" outlineLevel="0" collapsed="false">
      <c r="A23" s="14" t="s">
        <v>35</v>
      </c>
      <c r="B23" s="15" t="n">
        <v>51500</v>
      </c>
      <c r="C23" s="16"/>
      <c r="D23" s="16"/>
      <c r="E23" s="18"/>
      <c r="F23" s="9"/>
      <c r="G23" s="9"/>
    </row>
    <row r="24" customFormat="false" ht="28.5" hidden="false" customHeight="false" outlineLevel="0" collapsed="false">
      <c r="A24" s="14" t="s">
        <v>36</v>
      </c>
      <c r="B24" s="15" t="n">
        <v>51600</v>
      </c>
      <c r="C24" s="16"/>
      <c r="D24" s="16"/>
      <c r="E24" s="18"/>
      <c r="F24" s="9"/>
      <c r="G24" s="9"/>
    </row>
    <row r="25" customFormat="false" ht="14.25" hidden="false" customHeight="false" outlineLevel="0" collapsed="false">
      <c r="A25" s="14" t="s">
        <v>37</v>
      </c>
      <c r="B25" s="15" t="n">
        <v>51700</v>
      </c>
      <c r="C25" s="16"/>
      <c r="D25" s="16"/>
      <c r="E25" s="18"/>
      <c r="F25" s="9"/>
      <c r="G25" s="9"/>
    </row>
    <row r="26" customFormat="false" ht="13.8" hidden="false" customHeight="false" outlineLevel="0" collapsed="false">
      <c r="A26" s="28"/>
      <c r="B26" s="29"/>
      <c r="C26" s="29"/>
      <c r="D26" s="29"/>
      <c r="E26" s="29"/>
      <c r="F26" s="29"/>
      <c r="G26" s="30"/>
    </row>
    <row r="27" customFormat="false" ht="13.8" hidden="false" customHeight="false" outlineLevel="0" collapsed="false">
      <c r="A27" s="28"/>
      <c r="B27" s="29"/>
      <c r="C27" s="29"/>
      <c r="D27" s="29"/>
      <c r="E27" s="29"/>
      <c r="F27" s="29"/>
      <c r="G27" s="29"/>
    </row>
    <row r="28" customFormat="false" ht="13.8" hidden="false" customHeight="false" outlineLevel="0" collapsed="false">
      <c r="A28" s="31"/>
      <c r="B28" s="32"/>
      <c r="C28" s="32"/>
      <c r="D28" s="32"/>
      <c r="E28" s="32"/>
      <c r="F28" s="32"/>
      <c r="G28" s="29"/>
    </row>
    <row r="29" customFormat="false" ht="13.8" hidden="false" customHeight="false" outlineLevel="0" collapsed="false">
      <c r="G29" s="32"/>
    </row>
    <row r="37" customFormat="false" ht="14.25" hidden="false" customHeight="true" outlineLevel="0" collapsed="false"/>
    <row r="38" customFormat="false" ht="14.25" hidden="false" customHeight="true" outlineLevel="0" collapsed="false"/>
    <row r="41" customFormat="false" ht="18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fals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fals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fals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8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E4" activeCellId="0" sqref="E4:E28"/>
    </sheetView>
  </sheetViews>
  <sheetFormatPr defaultColWidth="9" defaultRowHeight="14.25" zeroHeight="false" outlineLevelRow="0" outlineLevelCol="0"/>
  <cols>
    <col collapsed="false" customWidth="true" hidden="false" outlineLevel="0" max="1" min="1" style="33" width="76.63"/>
    <col collapsed="false" customWidth="true" hidden="false" outlineLevel="0" max="2" min="2" style="33" width="11.13"/>
    <col collapsed="false" customWidth="true" hidden="false" outlineLevel="0" max="3" min="3" style="33" width="19.87"/>
    <col collapsed="false" customWidth="true" hidden="false" outlineLevel="0" max="4" min="4" style="33" width="29.66"/>
    <col collapsed="false" customWidth="true" hidden="false" outlineLevel="0" max="5" min="5" style="33" width="20.25"/>
    <col collapsed="false" customWidth="false" hidden="false" outlineLevel="0" max="1024" min="6" style="33" width="9"/>
  </cols>
  <sheetData>
    <row r="1" customFormat="false" ht="14.25" hidden="false" customHeight="false" outlineLevel="0" collapsed="false">
      <c r="A1" s="34" t="s">
        <v>0</v>
      </c>
      <c r="B1" s="34"/>
      <c r="C1" s="34" t="s">
        <v>1</v>
      </c>
      <c r="D1" s="3" t="s">
        <v>38</v>
      </c>
      <c r="F1" s="35"/>
      <c r="G1" s="35"/>
    </row>
    <row r="2" customFormat="false" ht="14.25" hidden="false" customHeight="false" outlineLevel="0" collapsed="false">
      <c r="A2" s="36" t="n">
        <v>1</v>
      </c>
      <c r="B2" s="36"/>
      <c r="C2" s="36" t="n">
        <v>2</v>
      </c>
      <c r="D2" s="37" t="n">
        <v>3</v>
      </c>
      <c r="E2" s="9"/>
      <c r="F2" s="9"/>
      <c r="G2" s="35"/>
    </row>
    <row r="3" customFormat="false" ht="14.25" hidden="false" customHeight="true" outlineLevel="0" collapsed="false">
      <c r="A3" s="38" t="s">
        <v>39</v>
      </c>
      <c r="B3" s="3" t="s">
        <v>40</v>
      </c>
      <c r="C3" s="3" t="n">
        <v>52110</v>
      </c>
      <c r="D3" s="39"/>
    </row>
    <row r="4" customFormat="false" ht="13.8" hidden="false" customHeight="false" outlineLevel="0" collapsed="false">
      <c r="A4" s="38"/>
      <c r="B4" s="3" t="s">
        <v>41</v>
      </c>
      <c r="C4" s="3" t="n">
        <v>52120</v>
      </c>
      <c r="D4" s="39" t="s">
        <v>42</v>
      </c>
      <c r="E4" s="40"/>
      <c r="F4" s="40"/>
      <c r="G4" s="40"/>
    </row>
    <row r="5" customFormat="false" ht="13.8" hidden="false" customHeight="false" outlineLevel="0" collapsed="false">
      <c r="A5" s="41" t="s">
        <v>43</v>
      </c>
      <c r="B5" s="3" t="s">
        <v>40</v>
      </c>
      <c r="C5" s="3" t="n">
        <v>52200</v>
      </c>
      <c r="D5" s="39"/>
      <c r="E5" s="40"/>
      <c r="F5" s="40"/>
      <c r="G5" s="40"/>
    </row>
    <row r="6" customFormat="false" ht="14.25" hidden="false" customHeight="true" outlineLevel="0" collapsed="false">
      <c r="A6" s="41" t="s">
        <v>44</v>
      </c>
      <c r="B6" s="3" t="s">
        <v>45</v>
      </c>
      <c r="C6" s="3" t="n">
        <v>52300</v>
      </c>
      <c r="D6" s="39" t="s">
        <v>46</v>
      </c>
      <c r="E6" s="9"/>
      <c r="F6" s="9"/>
      <c r="G6" s="9"/>
    </row>
    <row r="7" customFormat="false" ht="14.25" hidden="false" customHeight="false" outlineLevel="0" collapsed="false">
      <c r="A7" s="14" t="s">
        <v>47</v>
      </c>
      <c r="B7" s="3" t="s">
        <v>45</v>
      </c>
      <c r="C7" s="3" t="n">
        <v>52310</v>
      </c>
      <c r="D7" s="42" t="s">
        <v>48</v>
      </c>
      <c r="E7" s="9"/>
      <c r="F7" s="9"/>
      <c r="G7" s="9"/>
    </row>
    <row r="8" customFormat="false" ht="28.5" hidden="false" customHeight="false" outlineLevel="0" collapsed="false">
      <c r="A8" s="41" t="s">
        <v>49</v>
      </c>
      <c r="B8" s="3" t="s">
        <v>50</v>
      </c>
      <c r="C8" s="3" t="n">
        <v>52400</v>
      </c>
      <c r="D8" s="39" t="e">
        <f aca="false">D9+D11+D12+D15</f>
        <v>#VALUE!</v>
      </c>
      <c r="E8" s="40"/>
      <c r="F8" s="40"/>
      <c r="G8" s="40"/>
    </row>
    <row r="9" customFormat="false" ht="37.3" hidden="false" customHeight="false" outlineLevel="0" collapsed="false">
      <c r="A9" s="14" t="s">
        <v>51</v>
      </c>
      <c r="B9" s="3" t="s">
        <v>50</v>
      </c>
      <c r="C9" s="3" t="n">
        <v>52410</v>
      </c>
      <c r="D9" s="43" t="s">
        <v>52</v>
      </c>
      <c r="E9" s="40"/>
      <c r="F9" s="40"/>
      <c r="G9" s="40"/>
    </row>
    <row r="10" customFormat="false" ht="14.25" hidden="false" customHeight="true" outlineLevel="0" collapsed="false">
      <c r="A10" s="17" t="s">
        <v>53</v>
      </c>
      <c r="B10" s="3" t="s">
        <v>50</v>
      </c>
      <c r="C10" s="3" t="n">
        <v>52411</v>
      </c>
      <c r="D10" s="39"/>
      <c r="E10" s="40"/>
      <c r="F10" s="40"/>
      <c r="G10" s="40"/>
      <c r="H10" s="33" t="s">
        <v>54</v>
      </c>
    </row>
    <row r="11" customFormat="false" ht="28.5" hidden="false" customHeight="true" outlineLevel="0" collapsed="false">
      <c r="A11" s="14" t="s">
        <v>55</v>
      </c>
      <c r="B11" s="3" t="s">
        <v>50</v>
      </c>
      <c r="C11" s="3" t="n">
        <v>52420</v>
      </c>
      <c r="D11" s="39" t="s">
        <v>56</v>
      </c>
      <c r="E11" s="40"/>
      <c r="F11" s="40"/>
      <c r="G11" s="40"/>
    </row>
    <row r="12" customFormat="false" ht="23.25" hidden="false" customHeight="true" outlineLevel="0" collapsed="false">
      <c r="A12" s="14" t="s">
        <v>57</v>
      </c>
      <c r="B12" s="3" t="s">
        <v>50</v>
      </c>
      <c r="C12" s="3" t="n">
        <v>52430</v>
      </c>
      <c r="D12" s="44" t="s">
        <v>58</v>
      </c>
      <c r="E12" s="40"/>
      <c r="F12" s="40"/>
      <c r="G12" s="40"/>
    </row>
    <row r="13" customFormat="false" ht="14.25" hidden="false" customHeight="false" outlineLevel="0" collapsed="false">
      <c r="A13" s="14" t="s">
        <v>59</v>
      </c>
      <c r="B13" s="3" t="s">
        <v>50</v>
      </c>
      <c r="C13" s="3" t="n">
        <v>52440</v>
      </c>
      <c r="D13" s="39"/>
      <c r="E13" s="40"/>
      <c r="F13" s="40"/>
      <c r="G13" s="40"/>
    </row>
    <row r="14" customFormat="false" ht="30.75" hidden="false" customHeight="true" outlineLevel="0" collapsed="false">
      <c r="A14" s="14" t="s">
        <v>60</v>
      </c>
      <c r="B14" s="3" t="s">
        <v>50</v>
      </c>
      <c r="C14" s="3" t="n">
        <v>52450</v>
      </c>
      <c r="D14" s="39"/>
      <c r="E14" s="40"/>
      <c r="F14" s="40"/>
      <c r="G14" s="40"/>
    </row>
    <row r="15" customFormat="false" ht="14.25" hidden="false" customHeight="false" outlineLevel="0" collapsed="false">
      <c r="A15" s="14" t="s">
        <v>61</v>
      </c>
      <c r="B15" s="3" t="s">
        <v>50</v>
      </c>
      <c r="C15" s="3" t="n">
        <v>52490</v>
      </c>
      <c r="D15" s="44" t="s">
        <v>62</v>
      </c>
      <c r="E15" s="40"/>
      <c r="F15" s="40"/>
      <c r="G15" s="40"/>
    </row>
    <row r="16" customFormat="false" ht="28.5" hidden="false" customHeight="false" outlineLevel="0" collapsed="false">
      <c r="A16" s="41" t="s">
        <v>63</v>
      </c>
      <c r="B16" s="3" t="s">
        <v>64</v>
      </c>
      <c r="C16" s="3" t="n">
        <v>52500</v>
      </c>
      <c r="D16" s="39"/>
      <c r="E16" s="40"/>
      <c r="F16" s="40"/>
      <c r="G16" s="40"/>
    </row>
    <row r="17" customFormat="false" ht="14.25" hidden="false" customHeight="false" outlineLevel="0" collapsed="false">
      <c r="A17" s="41" t="s">
        <v>65</v>
      </c>
      <c r="B17" s="3" t="s">
        <v>50</v>
      </c>
      <c r="C17" s="3" t="n">
        <v>52600</v>
      </c>
      <c r="D17" s="39" t="s">
        <v>26</v>
      </c>
      <c r="E17" s="40"/>
      <c r="F17" s="40"/>
      <c r="G17" s="40"/>
    </row>
    <row r="18" customFormat="false" ht="85.5" hidden="false" customHeight="false" outlineLevel="0" collapsed="false">
      <c r="A18" s="41" t="s">
        <v>66</v>
      </c>
      <c r="B18" s="3" t="s">
        <v>67</v>
      </c>
      <c r="C18" s="3" t="n">
        <v>52700</v>
      </c>
      <c r="D18" s="39" t="e">
        <f aca="false">D19+D25+D28</f>
        <v>#VALUE!</v>
      </c>
      <c r="E18" s="40"/>
      <c r="F18" s="40"/>
      <c r="G18" s="40"/>
    </row>
    <row r="19" customFormat="false" ht="84.9" hidden="false" customHeight="true" outlineLevel="0" collapsed="false">
      <c r="A19" s="14" t="s">
        <v>68</v>
      </c>
      <c r="B19" s="3" t="s">
        <v>67</v>
      </c>
      <c r="C19" s="3" t="n">
        <v>52701</v>
      </c>
      <c r="D19" s="42" t="s">
        <v>69</v>
      </c>
      <c r="E19" s="40"/>
      <c r="F19" s="40"/>
      <c r="G19" s="40"/>
    </row>
    <row r="20" customFormat="false" ht="28.5" hidden="false" customHeight="true" outlineLevel="0" collapsed="false">
      <c r="A20" s="14" t="s">
        <v>70</v>
      </c>
      <c r="B20" s="3" t="s">
        <v>67</v>
      </c>
      <c r="C20" s="3" t="n">
        <v>52702</v>
      </c>
      <c r="D20" s="39"/>
      <c r="E20" s="40"/>
      <c r="F20" s="40"/>
      <c r="G20" s="40"/>
    </row>
    <row r="21" customFormat="false" ht="28.5" hidden="false" customHeight="true" outlineLevel="0" collapsed="false">
      <c r="A21" s="14" t="s">
        <v>71</v>
      </c>
      <c r="B21" s="3" t="s">
        <v>67</v>
      </c>
      <c r="C21" s="3" t="n">
        <v>52703</v>
      </c>
      <c r="D21" s="39"/>
      <c r="E21" s="9"/>
      <c r="F21" s="9"/>
      <c r="G21" s="9"/>
    </row>
    <row r="22" customFormat="false" ht="28.5" hidden="false" customHeight="true" outlineLevel="0" collapsed="false">
      <c r="A22" s="14" t="s">
        <v>72</v>
      </c>
      <c r="B22" s="3" t="s">
        <v>67</v>
      </c>
      <c r="C22" s="3" t="n">
        <v>52704</v>
      </c>
      <c r="D22" s="42"/>
      <c r="E22" s="9"/>
      <c r="F22" s="9"/>
      <c r="G22" s="9"/>
    </row>
    <row r="23" customFormat="false" ht="28.5" hidden="false" customHeight="true" outlineLevel="0" collapsed="false">
      <c r="A23" s="14" t="s">
        <v>73</v>
      </c>
      <c r="B23" s="3" t="s">
        <v>67</v>
      </c>
      <c r="C23" s="3" t="n">
        <v>52705</v>
      </c>
      <c r="D23" s="39"/>
      <c r="E23" s="40"/>
      <c r="F23" s="40"/>
      <c r="G23" s="40"/>
    </row>
    <row r="24" customFormat="false" ht="28.5" hidden="false" customHeight="true" outlineLevel="0" collapsed="false">
      <c r="A24" s="14" t="s">
        <v>74</v>
      </c>
      <c r="B24" s="3" t="s">
        <v>67</v>
      </c>
      <c r="C24" s="3" t="n">
        <v>52706</v>
      </c>
      <c r="D24" s="39"/>
      <c r="E24" s="35"/>
      <c r="F24" s="35"/>
      <c r="G24" s="35"/>
    </row>
    <row r="25" customFormat="false" ht="28.5" hidden="false" customHeight="true" outlineLevel="0" collapsed="false">
      <c r="A25" s="14" t="s">
        <v>75</v>
      </c>
      <c r="B25" s="3" t="s">
        <v>67</v>
      </c>
      <c r="C25" s="3" t="n">
        <v>52707</v>
      </c>
      <c r="D25" s="42" t="s">
        <v>76</v>
      </c>
      <c r="E25" s="35"/>
      <c r="F25" s="35"/>
      <c r="G25" s="35"/>
    </row>
    <row r="26" customFormat="false" ht="28.5" hidden="false" customHeight="true" outlineLevel="0" collapsed="false">
      <c r="A26" s="14" t="s">
        <v>77</v>
      </c>
      <c r="B26" s="3" t="s">
        <v>67</v>
      </c>
      <c r="C26" s="3" t="n">
        <v>52708</v>
      </c>
      <c r="D26" s="42"/>
      <c r="E26" s="35"/>
      <c r="F26" s="35"/>
      <c r="G26" s="35"/>
    </row>
    <row r="27" customFormat="false" ht="28.5" hidden="false" customHeight="true" outlineLevel="0" collapsed="false">
      <c r="A27" s="14" t="s">
        <v>78</v>
      </c>
      <c r="B27" s="3" t="s">
        <v>67</v>
      </c>
      <c r="C27" s="3" t="n">
        <v>52709</v>
      </c>
      <c r="D27" s="42"/>
      <c r="E27" s="35"/>
      <c r="F27" s="35"/>
      <c r="G27" s="35"/>
    </row>
    <row r="28" customFormat="false" ht="28.5" hidden="false" customHeight="true" outlineLevel="0" collapsed="false">
      <c r="A28" s="14" t="s">
        <v>79</v>
      </c>
      <c r="B28" s="3" t="s">
        <v>67</v>
      </c>
      <c r="C28" s="3" t="n">
        <v>52710</v>
      </c>
      <c r="D28" s="42" t="s">
        <v>80</v>
      </c>
      <c r="E28" s="35"/>
      <c r="F28" s="35"/>
      <c r="G28" s="35"/>
    </row>
    <row r="29" customFormat="false" ht="14.25" hidden="false" customHeight="false" outlineLevel="0" collapsed="false">
      <c r="A29" s="5"/>
      <c r="B29" s="45"/>
      <c r="C29" s="5"/>
      <c r="D29" s="5"/>
      <c r="E29" s="35"/>
      <c r="F29" s="35"/>
      <c r="G29" s="35"/>
    </row>
    <row r="30" customFormat="false" ht="14.25" hidden="false" customHeight="true" outlineLevel="0" collapsed="false">
      <c r="A30" s="40"/>
      <c r="B30" s="40"/>
      <c r="C30" s="40"/>
    </row>
    <row r="31" customFormat="false" ht="14.25" hidden="false" customHeight="false" outlineLevel="0" collapsed="false">
      <c r="A31" s="40"/>
      <c r="B31" s="40"/>
      <c r="C31" s="40"/>
    </row>
    <row r="32" customFormat="false" ht="14.25" hidden="false" customHeight="true" outlineLevel="0" collapsed="false">
      <c r="A32" s="40"/>
      <c r="B32" s="40"/>
      <c r="C32" s="40"/>
    </row>
    <row r="33" customFormat="false" ht="14.25" hidden="false" customHeight="false" outlineLevel="0" collapsed="false">
      <c r="A33" s="9"/>
      <c r="B33" s="9"/>
      <c r="C33" s="9"/>
    </row>
    <row r="34" customFormat="false" ht="14.25" hidden="false" customHeight="false" outlineLevel="0" collapsed="false">
      <c r="A34" s="9"/>
      <c r="B34" s="9"/>
      <c r="C34" s="9"/>
    </row>
    <row r="35" customFormat="false" ht="14.25" hidden="false" customHeight="true" outlineLevel="0" collapsed="false">
      <c r="A35" s="9"/>
      <c r="B35" s="9"/>
      <c r="C35" s="9"/>
    </row>
    <row r="36" customFormat="false" ht="14.25" hidden="false" customHeight="false" outlineLevel="0" collapsed="false">
      <c r="A36" s="9"/>
      <c r="B36" s="9"/>
      <c r="C36" s="9"/>
    </row>
    <row r="37" customFormat="false" ht="14.25" hidden="false" customHeight="true" outlineLevel="0" collapsed="false">
      <c r="A37" s="9"/>
      <c r="B37" s="9"/>
      <c r="C37" s="9"/>
    </row>
    <row r="38" customFormat="false" ht="14.25" hidden="false" customHeight="false" outlineLevel="0" collapsed="false">
      <c r="A38" s="9"/>
      <c r="B38" s="9"/>
      <c r="C38" s="9"/>
    </row>
    <row r="39" customFormat="false" ht="14.25" hidden="false" customHeight="true" outlineLevel="0" collapsed="false">
      <c r="A39" s="9"/>
      <c r="B39" s="9"/>
      <c r="C39" s="9"/>
    </row>
    <row r="40" customFormat="false" ht="14.25" hidden="false" customHeight="false" outlineLevel="0" collapsed="false">
      <c r="A40" s="9"/>
      <c r="B40" s="9"/>
      <c r="C40" s="9"/>
    </row>
    <row r="41" customFormat="false" ht="14.25" hidden="false" customHeight="true" outlineLevel="0" collapsed="false">
      <c r="A41" s="9"/>
      <c r="B41" s="9"/>
      <c r="C41" s="9"/>
    </row>
    <row r="42" customFormat="false" ht="14.25" hidden="false" customHeight="false" outlineLevel="0" collapsed="false">
      <c r="A42" s="9"/>
      <c r="B42" s="9"/>
      <c r="C42" s="9"/>
    </row>
    <row r="43" customFormat="false" ht="14.25" hidden="false" customHeight="true" outlineLevel="0" collapsed="false">
      <c r="A43" s="9"/>
      <c r="B43" s="9"/>
      <c r="C43" s="9"/>
    </row>
    <row r="44" customFormat="false" ht="14.25" hidden="false" customHeight="false" outlineLevel="0" collapsed="false">
      <c r="A44" s="9"/>
      <c r="B44" s="9"/>
      <c r="C44" s="9"/>
    </row>
    <row r="45" customFormat="false" ht="14.25" hidden="false" customHeight="false" outlineLevel="0" collapsed="false">
      <c r="A45" s="9"/>
      <c r="B45" s="9"/>
      <c r="C45" s="9"/>
    </row>
    <row r="46" customFormat="false" ht="14.25" hidden="false" customHeight="true" outlineLevel="0" collapsed="false">
      <c r="A46" s="9"/>
      <c r="B46" s="9"/>
      <c r="C46" s="9"/>
    </row>
  </sheetData>
  <mergeCells count="3">
    <mergeCell ref="A1:B1"/>
    <mergeCell ref="A2:B2"/>
    <mergeCell ref="A3: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2026-06-07T11:26:37Z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