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7.1" sheetId="1" state="visible" r:id="rId2"/>
    <sheet name="17.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4" authorId="0">
      <text>
        <r>
          <rPr>
            <sz val="11"/>
            <color rgb="FF000000"/>
            <rFont val="Calibri"/>
            <family val="2"/>
            <charset val="1"/>
          </rPr>
          <t xml:space="preserve">Egor:
</t>
        </r>
        <r>
          <rPr>
            <sz val="9"/>
            <color rgb="FF000000"/>
            <rFont val="Tahoma"/>
            <family val="2"/>
            <charset val="204"/>
          </rPr>
          <t xml:space="preserve">jx:area(lastCell="L38")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3" authorId="0">
      <text>
        <r>
          <rPr>
            <sz val="11"/>
            <color rgb="FF000000"/>
            <rFont val="Calibri"/>
            <family val="2"/>
            <charset val="1"/>
          </rPr>
          <t xml:space="preserve">Egor:
</t>
        </r>
        <r>
          <rPr>
            <sz val="9"/>
            <color rgb="FF000000"/>
            <rFont val="Tahoma"/>
            <family val="2"/>
            <charset val="204"/>
          </rPr>
          <t xml:space="preserve">jx:area(lastCell="E17")</t>
        </r>
      </text>
    </comment>
  </commentList>
</comments>
</file>

<file path=xl/sharedStrings.xml><?xml version="1.0" encoding="utf-8"?>
<sst xmlns="http://schemas.openxmlformats.org/spreadsheetml/2006/main" count="199" uniqueCount="172">
  <si>
    <t xml:space="preserve">Наименование показателя</t>
  </si>
  <si>
    <t xml:space="preserve">Коды</t>
  </si>
  <si>
    <t xml:space="preserve">На начало года</t>
  </si>
  <si>
    <t xml:space="preserve">Поступило</t>
  </si>
  <si>
    <t xml:space="preserve">Выбыло</t>
  </si>
  <si>
    <t xml:space="preserve">На конец года</t>
  </si>
  <si>
    <t xml:space="preserve">всего</t>
  </si>
  <si>
    <t xml:space="preserve">в том числе:
по лизингу</t>
  </si>
  <si>
    <t xml:space="preserve">в том числе:
новое</t>
  </si>
  <si>
    <t xml:space="preserve">из графы 6 -
по лизингу</t>
  </si>
  <si>
    <t xml:space="preserve">в том числе:
списано</t>
  </si>
  <si>
    <t xml:space="preserve">из графы 10 -
арендованные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</si>
  <si>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</si>
  <si>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</si>
  <si>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</si>
  <si>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</si>
  <si>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</si>
  <si>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</si>
  <si>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</si>
  <si>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</si>
  <si>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</si>
  <si>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</si>
  <si>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</si>
  <si>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</si>
  <si>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Тракторы сельскохозяйственные всех марок (стр.171110+ 171120)</t>
  </si>
  <si>
    <t xml:space="preserve">171100</t>
  </si>
  <si>
    <t xml:space="preserve">в том числе: 
тракторы колесные</t>
  </si>
  <si>
    <t xml:space="preserve">171110</t>
  </si>
  <si>
    <t xml:space="preserve">${tractor.atStartDateCount}</t>
  </si>
  <si>
    <t xml:space="preserve">${tractor.incomingCount}</t>
  </si>
  <si>
    <t xml:space="preserve">${tractor.decommissionedCount}</t>
  </si>
  <si>
    <t xml:space="preserve">${tractor.atEndDateCount}</t>
  </si>
  <si>
    <t xml:space="preserve">тракторы гусеничные</t>
  </si>
  <si>
    <t xml:space="preserve">171120</t>
  </si>
  <si>
    <t xml:space="preserve">СПРАВОЧНО: из строки 171100 - тракторы, на которых смонтированы машины (землеройные, мелиоративные)</t>
  </si>
  <si>
    <t xml:space="preserve">171101</t>
  </si>
  <si>
    <t xml:space="preserve">Машины и оборудование сельскохозяйственные для обработки почвы 
(стр.171210+ 171220+ 171230+ 171240+ 171250)</t>
  </si>
  <si>
    <t xml:space="preserve">171200</t>
  </si>
  <si>
    <t xml:space="preserve">в том числе: 
плуги</t>
  </si>
  <si>
    <t xml:space="preserve">171210</t>
  </si>
  <si>
    <t xml:space="preserve">${plow.atStartDateCount}</t>
  </si>
  <si>
    <t xml:space="preserve">${plow.incomingCount}</t>
  </si>
  <si>
    <t xml:space="preserve">${plow.decommissionedCount}</t>
  </si>
  <si>
    <t xml:space="preserve">${plow.atEndDateCount}</t>
  </si>
  <si>
    <t xml:space="preserve">бороны, культиваторы, машины для прополки и пропалыватели</t>
  </si>
  <si>
    <t xml:space="preserve">171220</t>
  </si>
  <si>
    <t xml:space="preserve">${diskator.atStartDateCount + harrow.atStartDateCount + cultivator.atStartDateCount}</t>
  </si>
  <si>
    <t xml:space="preserve">${diskator.incomingCount + harrow.incomingCount + cultivator.incomingCount}</t>
  </si>
  <si>
    <t xml:space="preserve">${diskator.decommissionedCount + harrow.decommissionedCount + cultivator.decommissionedCount}</t>
  </si>
  <si>
    <r>
      <rPr>
        <sz val="11"/>
        <color rgb="FF000000"/>
        <rFont val="Times New Roman"/>
        <family val="1"/>
        <charset val="204"/>
      </rPr>
      <t xml:space="preserve">${diskator.</t>
    </r>
    <r>
      <rPr>
        <sz val="11"/>
        <color rgb="FF000000"/>
        <rFont val="Times New Roman"/>
        <family val="1"/>
        <charset val="1"/>
      </rPr>
      <t xml:space="preserve">atEndDateCount</t>
    </r>
    <r>
      <rPr>
        <sz val="11"/>
        <color rgb="FF000000"/>
        <rFont val="Times New Roman"/>
        <family val="1"/>
        <charset val="204"/>
      </rPr>
      <t xml:space="preserve"> + harrow.</t>
    </r>
    <r>
      <rPr>
        <sz val="11"/>
        <color rgb="FF000000"/>
        <rFont val="Times New Roman"/>
        <family val="1"/>
        <charset val="1"/>
      </rPr>
      <t xml:space="preserve">atEndDateCount</t>
    </r>
    <r>
      <rPr>
        <sz val="11"/>
        <color rgb="FF000000"/>
        <rFont val="Times New Roman"/>
        <family val="1"/>
        <charset val="204"/>
      </rPr>
      <t xml:space="preserve"> + cultivator.</t>
    </r>
    <r>
      <rPr>
        <sz val="11"/>
        <color rgb="FF000000"/>
        <rFont val="Times New Roman"/>
        <family val="1"/>
        <charset val="1"/>
      </rPr>
      <t xml:space="preserve">atEndDateCount</t>
    </r>
    <r>
      <rPr>
        <sz val="11"/>
        <color rgb="FF000000"/>
        <rFont val="Times New Roman"/>
        <family val="1"/>
        <charset val="204"/>
      </rPr>
      <t xml:space="preserve">}</t>
    </r>
  </si>
  <si>
    <t xml:space="preserve">сеялки (посевные комплексы), сажалки 
и рассадопосадочные машины</t>
  </si>
  <si>
    <t xml:space="preserve">171230</t>
  </si>
  <si>
    <r>
      <rPr>
        <sz val="11"/>
        <color rgb="FF000000"/>
        <rFont val="Times New Roman"/>
        <family val="1"/>
        <charset val="204"/>
      </rPr>
      <t xml:space="preserve">${seeder.</t>
    </r>
    <r>
      <rPr>
        <sz val="11"/>
        <color rgb="FF000000"/>
        <rFont val="Times New Roman"/>
        <family val="1"/>
        <charset val="1"/>
      </rPr>
      <t xml:space="preserve">atStartDateCount</t>
    </r>
    <r>
      <rPr>
        <sz val="11"/>
        <color rgb="FF000000"/>
        <rFont val="Times New Roman"/>
        <family val="1"/>
        <charset val="204"/>
      </rPr>
      <t xml:space="preserve">}</t>
    </r>
  </si>
  <si>
    <r>
      <rPr>
        <sz val="11"/>
        <color rgb="FF000000"/>
        <rFont val="Times New Roman"/>
        <family val="1"/>
        <charset val="204"/>
      </rPr>
      <t xml:space="preserve">${seeder.</t>
    </r>
    <r>
      <rPr>
        <sz val="11"/>
        <color rgb="FF000000"/>
        <rFont val="Times New Roman"/>
        <family val="1"/>
        <charset val="1"/>
      </rPr>
      <t xml:space="preserve">incomingCount</t>
    </r>
    <r>
      <rPr>
        <sz val="11"/>
        <color rgb="FF000000"/>
        <rFont val="Times New Roman"/>
        <family val="1"/>
        <charset val="204"/>
      </rPr>
      <t xml:space="preserve">}</t>
    </r>
  </si>
  <si>
    <r>
      <rPr>
        <sz val="11"/>
        <color rgb="FF000000"/>
        <rFont val="Times New Roman"/>
        <family val="1"/>
        <charset val="204"/>
      </rPr>
      <t xml:space="preserve">${seeder.</t>
    </r>
    <r>
      <rPr>
        <sz val="11"/>
        <color rgb="FF000000"/>
        <rFont val="Times New Roman"/>
        <family val="1"/>
        <charset val="1"/>
      </rPr>
      <t xml:space="preserve">decommissionedCount</t>
    </r>
    <r>
      <rPr>
        <sz val="11"/>
        <color rgb="FF000000"/>
        <rFont val="Times New Roman"/>
        <family val="1"/>
        <charset val="204"/>
      </rPr>
      <t xml:space="preserve">}</t>
    </r>
  </si>
  <si>
    <r>
      <rPr>
        <sz val="11"/>
        <color rgb="FF000000"/>
        <rFont val="Times New Roman"/>
        <family val="1"/>
        <charset val="204"/>
      </rPr>
      <t xml:space="preserve">${seeder.</t>
    </r>
    <r>
      <rPr>
        <sz val="11"/>
        <color rgb="FF000000"/>
        <rFont val="Times New Roman"/>
        <family val="1"/>
        <charset val="1"/>
      </rPr>
      <t xml:space="preserve">atEndDateCount</t>
    </r>
    <r>
      <rPr>
        <sz val="11"/>
        <color rgb="FF000000"/>
        <rFont val="Times New Roman"/>
        <family val="1"/>
        <charset val="204"/>
      </rPr>
      <t xml:space="preserve">}</t>
    </r>
  </si>
  <si>
    <t xml:space="preserve">разбрасыватели органических и минеральных удобрений</t>
  </si>
  <si>
    <t xml:space="preserve">171240</t>
  </si>
  <si>
    <t xml:space="preserve">${fertilizer_dispenser.atStartDateCount + sprayer.atStartDateCount}</t>
  </si>
  <si>
    <t xml:space="preserve">${fertilizer_dispenser.incomingCount + sprayer.incomingCount}</t>
  </si>
  <si>
    <t xml:space="preserve">${fertilizer_dispenser.decommissionedCount + sprayer.decommissionedCount}</t>
  </si>
  <si>
    <t xml:space="preserve">${fertilizer_dispenser.atEndDateCount + sprayer.atEndDateCount}</t>
  </si>
  <si>
    <t xml:space="preserve">машины сельскохозяйственные для обработки почвы прочие</t>
  </si>
  <si>
    <t xml:space="preserve">171250</t>
  </si>
  <si>
    <r>
      <rPr>
        <sz val="12"/>
        <color rgb="FF000000"/>
        <rFont val="Calibri"/>
        <family val="2"/>
        <charset val="1"/>
      </rPr>
      <t xml:space="preserve">${rolling_rinks</t>
    </r>
    <r>
      <rPr>
        <sz val="10"/>
        <color rgb="FF000000"/>
        <rFont val="JetBrains Mono"/>
        <family val="3"/>
        <charset val="1"/>
      </rPr>
      <t xml:space="preserve">.atStartDateCount</t>
    </r>
    <r>
      <rPr>
        <sz val="12"/>
        <color rgb="FF000000"/>
        <rFont val="Calibri"/>
        <family val="2"/>
        <charset val="1"/>
      </rPr>
      <t xml:space="preserve">}</t>
    </r>
  </si>
  <si>
    <r>
      <rPr>
        <sz val="12"/>
        <color rgb="FF000000"/>
        <rFont val="Times New Roman"/>
        <family val="1"/>
        <charset val="1"/>
      </rPr>
      <t xml:space="preserve">${rolling_rinks</t>
    </r>
    <r>
      <rPr>
        <sz val="10"/>
        <color rgb="FF000000"/>
        <rFont val="JetBrains Mono"/>
        <family val="3"/>
        <charset val="1"/>
      </rPr>
      <t xml:space="preserve">.</t>
    </r>
    <r>
      <rPr>
        <sz val="11"/>
        <color rgb="FF000000"/>
        <rFont val="Times New Roman"/>
        <family val="1"/>
        <charset val="1"/>
      </rPr>
      <t xml:space="preserve">incomingCount</t>
    </r>
    <r>
      <rPr>
        <sz val="12"/>
        <color rgb="FF000000"/>
        <rFont val="Times New Roman"/>
        <family val="1"/>
        <charset val="1"/>
      </rPr>
      <t xml:space="preserve">}</t>
    </r>
  </si>
  <si>
    <r>
      <rPr>
        <sz val="12"/>
        <color rgb="FF000000"/>
        <rFont val="Times New Roman"/>
        <family val="1"/>
        <charset val="1"/>
      </rPr>
      <t xml:space="preserve">${rolling_rinks</t>
    </r>
    <r>
      <rPr>
        <sz val="10"/>
        <color rgb="FF000000"/>
        <rFont val="JetBrains Mono"/>
        <family val="3"/>
        <charset val="1"/>
      </rPr>
      <t xml:space="preserve">.</t>
    </r>
    <r>
      <rPr>
        <sz val="11"/>
        <color rgb="FF000000"/>
        <rFont val="Times New Roman"/>
        <family val="1"/>
        <charset val="1"/>
      </rPr>
      <t xml:space="preserve">decommissionedCount</t>
    </r>
    <r>
      <rPr>
        <sz val="12"/>
        <color rgb="FF000000"/>
        <rFont val="Times New Roman"/>
        <family val="1"/>
        <charset val="1"/>
      </rPr>
      <t xml:space="preserve">}</t>
    </r>
  </si>
  <si>
    <r>
      <rPr>
        <sz val="12"/>
        <color rgb="FF000000"/>
        <rFont val="Times New Roman"/>
        <family val="1"/>
        <charset val="1"/>
      </rPr>
      <t xml:space="preserve">${rolling_rinks</t>
    </r>
    <r>
      <rPr>
        <sz val="10"/>
        <color rgb="FF000000"/>
        <rFont val="JetBrains Mono"/>
        <family val="3"/>
        <charset val="1"/>
      </rPr>
      <t xml:space="preserve">.</t>
    </r>
    <r>
      <rPr>
        <sz val="11"/>
        <color rgb="FF000000"/>
        <rFont val="Times New Roman"/>
        <family val="1"/>
        <charset val="1"/>
      </rPr>
      <t xml:space="preserve">atEndDateCount</t>
    </r>
    <r>
      <rPr>
        <sz val="12"/>
        <color rgb="FF000000"/>
        <rFont val="Times New Roman"/>
        <family val="1"/>
        <charset val="1"/>
      </rPr>
      <t xml:space="preserve">}</t>
    </r>
  </si>
  <si>
    <t xml:space="preserve">Машины для уборки урожая
(стр.171310+ 171320+ 171330+ 171340+ 171350+ 171360+ 171370+ 171380+ 171390)</t>
  </si>
  <si>
    <t xml:space="preserve">171300</t>
  </si>
  <si>
    <t xml:space="preserve">в том числе: 
машины сеноуборочные, прессы для соломы или сена, включая пресс-подборщики</t>
  </si>
  <si>
    <t xml:space="preserve">171310</t>
  </si>
  <si>
    <r>
      <rPr>
        <sz val="12"/>
        <color rgb="FF000000"/>
        <rFont val="Calibri"/>
        <family val="2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hay_harvester.atStartDateCount</t>
    </r>
    <r>
      <rPr>
        <sz val="12"/>
        <color rgb="FF000000"/>
        <rFont val="Calibri"/>
        <family val="2"/>
        <charset val="1"/>
      </rPr>
      <t xml:space="preserve">}</t>
    </r>
  </si>
  <si>
    <r>
      <rPr>
        <sz val="10"/>
        <color rgb="FF000000"/>
        <rFont val="JetBrains Mono"/>
        <family val="3"/>
        <charset val="1"/>
      </rPr>
      <t xml:space="preserve">${hay_harvester.</t>
    </r>
    <r>
      <rPr>
        <sz val="11"/>
        <color rgb="FF000000"/>
        <rFont val="Times New Roman"/>
        <family val="1"/>
        <charset val="1"/>
      </rPr>
      <t xml:space="preserve">incomingCount</t>
    </r>
    <r>
      <rPr>
        <sz val="10"/>
        <color rgb="FF000000"/>
        <rFont val="JetBrains Mono"/>
        <family val="3"/>
        <charset val="1"/>
      </rPr>
      <t xml:space="preserve">}</t>
    </r>
  </si>
  <si>
    <r>
      <rPr>
        <sz val="10"/>
        <color rgb="FF000000"/>
        <rFont val="JetBrains Mono"/>
        <family val="3"/>
        <charset val="1"/>
      </rPr>
      <t xml:space="preserve">${hay_harvester.</t>
    </r>
    <r>
      <rPr>
        <sz val="11"/>
        <color rgb="FF000000"/>
        <rFont val="Times New Roman"/>
        <family val="1"/>
        <charset val="1"/>
      </rPr>
      <t xml:space="preserve">decommissionedCount</t>
    </r>
    <r>
      <rPr>
        <sz val="10"/>
        <color rgb="FF000000"/>
        <rFont val="JetBrains Mono"/>
        <family val="3"/>
        <charset val="1"/>
      </rPr>
      <t xml:space="preserve">}</t>
    </r>
  </si>
  <si>
    <r>
      <rPr>
        <sz val="10"/>
        <color rgb="FF000000"/>
        <rFont val="JetBrains Mono"/>
        <family val="3"/>
        <charset val="1"/>
      </rPr>
      <t xml:space="preserve">${hay_harvester.</t>
    </r>
    <r>
      <rPr>
        <sz val="11"/>
        <color rgb="FF000000"/>
        <rFont val="Times New Roman"/>
        <family val="1"/>
        <charset val="1"/>
      </rPr>
      <t xml:space="preserve">atEndDateCount</t>
    </r>
    <r>
      <rPr>
        <sz val="10"/>
        <color rgb="FF000000"/>
        <rFont val="JetBrains Mono"/>
        <family val="3"/>
        <charset val="1"/>
      </rPr>
      <t xml:space="preserve">}</t>
    </r>
  </si>
  <si>
    <t xml:space="preserve">из них: 
комбайны кормоуборочные</t>
  </si>
  <si>
    <t xml:space="preserve">171311</t>
  </si>
  <si>
    <t xml:space="preserve">машины для уборки и первичной обработки картофеля</t>
  </si>
  <si>
    <t xml:space="preserve">171320</t>
  </si>
  <si>
    <t xml:space="preserve">машины для уборки и первичной обработки свеклы и других корнеплодов</t>
  </si>
  <si>
    <t xml:space="preserve">171330</t>
  </si>
  <si>
    <t xml:space="preserve">машины для уборки зерновых, масличных, бобовых и крупяных культур</t>
  </si>
  <si>
    <t xml:space="preserve">171340</t>
  </si>
  <si>
    <t xml:space="preserve">из них: 
комбайны зерноуборочные</t>
  </si>
  <si>
    <t xml:space="preserve">171341</t>
  </si>
  <si>
    <r>
      <rPr>
        <sz val="11"/>
        <color rgb="FF000000"/>
        <rFont val="Times New Roman"/>
        <family val="1"/>
        <charset val="204"/>
      </rPr>
      <t xml:space="preserve">${combine_harvester.</t>
    </r>
    <r>
      <rPr>
        <sz val="11"/>
        <color rgb="FF000000"/>
        <rFont val="Times New Roman"/>
        <family val="1"/>
        <charset val="1"/>
      </rPr>
      <t xml:space="preserve">atStartDateCount</t>
    </r>
    <r>
      <rPr>
        <sz val="11"/>
        <color rgb="FF000000"/>
        <rFont val="Times New Roman"/>
        <family val="1"/>
        <charset val="204"/>
      </rPr>
      <t xml:space="preserve">}</t>
    </r>
  </si>
  <si>
    <r>
      <rPr>
        <sz val="11"/>
        <color rgb="FF000000"/>
        <rFont val="Times New Roman"/>
        <family val="1"/>
        <charset val="204"/>
      </rPr>
      <t xml:space="preserve">${combine_harvester.</t>
    </r>
    <r>
      <rPr>
        <sz val="11"/>
        <color rgb="FF000000"/>
        <rFont val="Times New Roman"/>
        <family val="1"/>
        <charset val="1"/>
      </rPr>
      <t xml:space="preserve">incomingCount</t>
    </r>
    <r>
      <rPr>
        <sz val="11"/>
        <color rgb="FF000000"/>
        <rFont val="Times New Roman"/>
        <family val="1"/>
        <charset val="204"/>
      </rPr>
      <t xml:space="preserve">}</t>
    </r>
  </si>
  <si>
    <r>
      <rPr>
        <sz val="11"/>
        <color rgb="FF000000"/>
        <rFont val="Times New Roman"/>
        <family val="1"/>
        <charset val="204"/>
      </rPr>
      <t xml:space="preserve">${combine_harvester.</t>
    </r>
    <r>
      <rPr>
        <sz val="11"/>
        <color rgb="FF000000"/>
        <rFont val="Times New Roman"/>
        <family val="1"/>
        <charset val="1"/>
      </rPr>
      <t xml:space="preserve">decommissionedCount</t>
    </r>
    <r>
      <rPr>
        <sz val="11"/>
        <color rgb="FF000000"/>
        <rFont val="Times New Roman"/>
        <family val="1"/>
        <charset val="204"/>
      </rPr>
      <t xml:space="preserve">}</t>
    </r>
  </si>
  <si>
    <r>
      <rPr>
        <sz val="11"/>
        <color rgb="FF000000"/>
        <rFont val="Times New Roman"/>
        <family val="1"/>
        <charset val="204"/>
      </rPr>
      <t xml:space="preserve">${combine_harvester.</t>
    </r>
    <r>
      <rPr>
        <sz val="11"/>
        <color rgb="FF000000"/>
        <rFont val="Times New Roman"/>
        <family val="1"/>
        <charset val="1"/>
      </rPr>
      <t xml:space="preserve">atEndDateCount</t>
    </r>
    <r>
      <rPr>
        <sz val="11"/>
        <color rgb="FF000000"/>
        <rFont val="Times New Roman"/>
        <family val="1"/>
        <charset val="204"/>
      </rPr>
      <t xml:space="preserve">}</t>
    </r>
  </si>
  <si>
    <t xml:space="preserve">жатки (рядковые и валковые)</t>
  </si>
  <si>
    <t xml:space="preserve">171342</t>
  </si>
  <si>
    <t xml:space="preserve">машины для уборки и первичной обработки кукурузы</t>
  </si>
  <si>
    <t xml:space="preserve">171350</t>
  </si>
  <si>
    <t xml:space="preserve">машины для уборки и первичной обработки овощей и бахчевых культур</t>
  </si>
  <si>
    <t xml:space="preserve">171360</t>
  </si>
  <si>
    <t xml:space="preserve">машины для уборки и первичной обработки плодов и ягод в садах и виноградниках</t>
  </si>
  <si>
    <t xml:space="preserve">171370</t>
  </si>
  <si>
    <t xml:space="preserve">машины для уборки и первичной обработки льна</t>
  </si>
  <si>
    <t xml:space="preserve">171380</t>
  </si>
  <si>
    <t xml:space="preserve">машины для уборки урожая и обмолота прочие, не включенные в другие группировки</t>
  </si>
  <si>
    <t xml:space="preserve">171390</t>
  </si>
  <si>
    <t xml:space="preserve">Машины и оборудование сельскохозяйственные прочие
(стр.171410+ 171420+ 171430+ 171440+ 171450)</t>
  </si>
  <si>
    <t xml:space="preserve">171400</t>
  </si>
  <si>
    <t xml:space="preserve">в том числе: 
установки и аппараты доильные</t>
  </si>
  <si>
    <t xml:space="preserve">171410</t>
  </si>
  <si>
    <t xml:space="preserve">оборудование для приготовления кормов 
для животных</t>
  </si>
  <si>
    <t xml:space="preserve">171420</t>
  </si>
  <si>
    <t xml:space="preserve">из них: 
раздатчики кормов</t>
  </si>
  <si>
    <t xml:space="preserve">171421</t>
  </si>
  <si>
    <t xml:space="preserve">инкубаторы и брудеры для птицеводства</t>
  </si>
  <si>
    <t xml:space="preserve">171430</t>
  </si>
  <si>
    <t xml:space="preserve">машины и оборудование для содержания птицы</t>
  </si>
  <si>
    <t xml:space="preserve">171440</t>
  </si>
  <si>
    <t xml:space="preserve">оборудование для сельского хозяйства, садоводства, птицеводства или пчеловодства, 
не включенное в другие группировки</t>
  </si>
  <si>
    <t xml:space="preserve">171450</t>
  </si>
  <si>
    <t xml:space="preserve">Прицепы и полуприцепы самозагружающиеся 
или саморазгружающиеся для сельского хозяйства</t>
  </si>
  <si>
    <t xml:space="preserve">171500</t>
  </si>
  <si>
    <t xml:space="preserve">Тракторные прицепы</t>
  </si>
  <si>
    <t xml:space="preserve">171600</t>
  </si>
  <si>
    <r>
      <rPr>
        <b val="true"/>
        <sz val="11"/>
        <color rgb="FF000000"/>
        <rFont val="Times New Roman"/>
        <family val="1"/>
        <charset val="204"/>
      </rPr>
      <t xml:space="preserve">${trailer.</t>
    </r>
    <r>
      <rPr>
        <sz val="11"/>
        <color rgb="FF000000"/>
        <rFont val="Times New Roman"/>
        <family val="1"/>
        <charset val="1"/>
      </rPr>
      <t xml:space="preserve">atStartDateCount</t>
    </r>
    <r>
      <rPr>
        <b val="true"/>
        <sz val="11"/>
        <color rgb="FF000000"/>
        <rFont val="Times New Roman"/>
        <family val="1"/>
        <charset val="204"/>
      </rPr>
      <t xml:space="preserve">}</t>
    </r>
  </si>
  <si>
    <r>
      <rPr>
        <b val="true"/>
        <sz val="11"/>
        <color rgb="FF000000"/>
        <rFont val="Times New Roman"/>
        <family val="1"/>
        <charset val="204"/>
      </rPr>
      <t xml:space="preserve">${trailer.</t>
    </r>
    <r>
      <rPr>
        <sz val="11"/>
        <color rgb="FF000000"/>
        <rFont val="Times New Roman"/>
        <family val="1"/>
        <charset val="1"/>
      </rPr>
      <t xml:space="preserve">incomingCount</t>
    </r>
    <r>
      <rPr>
        <b val="true"/>
        <sz val="11"/>
        <color rgb="FF000000"/>
        <rFont val="Times New Roman"/>
        <family val="1"/>
        <charset val="204"/>
      </rPr>
      <t xml:space="preserve">}</t>
    </r>
  </si>
  <si>
    <t xml:space="preserve">${trailer.decommissionedCount}</t>
  </si>
  <si>
    <r>
      <rPr>
        <b val="true"/>
        <sz val="11"/>
        <color rgb="FF000000"/>
        <rFont val="Times New Roman"/>
        <family val="1"/>
        <charset val="204"/>
      </rPr>
      <t xml:space="preserve">${trailer.</t>
    </r>
    <r>
      <rPr>
        <sz val="11"/>
        <color rgb="FF000000"/>
        <rFont val="Times New Roman"/>
        <family val="1"/>
        <charset val="1"/>
      </rPr>
      <t xml:space="preserve">atEndDateCount</t>
    </r>
    <r>
      <rPr>
        <b val="true"/>
        <sz val="11"/>
        <color rgb="FF000000"/>
        <rFont val="Times New Roman"/>
        <family val="1"/>
        <charset val="204"/>
      </rPr>
      <t xml:space="preserve">}</t>
    </r>
  </si>
  <si>
    <t xml:space="preserve">Транспортеры (для уборки навоза)</t>
  </si>
  <si>
    <t xml:space="preserve">171700</t>
  </si>
  <si>
    <t xml:space="preserve">Автомобили грузовые</t>
  </si>
  <si>
    <t xml:space="preserve">171800</t>
  </si>
  <si>
    <r>
      <rPr>
        <b val="true"/>
        <sz val="11"/>
        <color rgb="FF000000"/>
        <rFont val="Times New Roman"/>
        <family val="1"/>
        <charset val="204"/>
      </rPr>
      <t xml:space="preserve">${forklift.</t>
    </r>
    <r>
      <rPr>
        <sz val="11"/>
        <color rgb="FF000000"/>
        <rFont val="Times New Roman"/>
        <family val="1"/>
        <charset val="1"/>
      </rPr>
      <t xml:space="preserve">atStartDateCount</t>
    </r>
    <r>
      <rPr>
        <b val="true"/>
        <sz val="11"/>
        <color rgb="FF000000"/>
        <rFont val="Times New Roman"/>
        <family val="1"/>
        <charset val="204"/>
      </rPr>
      <t xml:space="preserve">}</t>
    </r>
  </si>
  <si>
    <r>
      <rPr>
        <b val="true"/>
        <sz val="11"/>
        <color rgb="FF000000"/>
        <rFont val="Times New Roman"/>
        <family val="1"/>
        <charset val="204"/>
      </rPr>
      <t xml:space="preserve">${forklift.</t>
    </r>
    <r>
      <rPr>
        <sz val="11"/>
        <color rgb="FF000000"/>
        <rFont val="Times New Roman"/>
        <family val="1"/>
        <charset val="1"/>
      </rPr>
      <t xml:space="preserve">incomingCount</t>
    </r>
    <r>
      <rPr>
        <b val="true"/>
        <sz val="11"/>
        <color rgb="FF000000"/>
        <rFont val="Times New Roman"/>
        <family val="1"/>
        <charset val="204"/>
      </rPr>
      <t xml:space="preserve">}</t>
    </r>
  </si>
  <si>
    <r>
      <rPr>
        <b val="true"/>
        <sz val="11"/>
        <color rgb="FF000000"/>
        <rFont val="Times New Roman"/>
        <family val="1"/>
        <charset val="204"/>
      </rPr>
      <t xml:space="preserve">${forklift.</t>
    </r>
    <r>
      <rPr>
        <b val="true"/>
        <sz val="11"/>
        <color rgb="FF000000"/>
        <rFont val="Times New Roman"/>
        <family val="1"/>
        <charset val="1"/>
      </rPr>
      <t xml:space="preserve">decommissionedCount</t>
    </r>
    <r>
      <rPr>
        <b val="true"/>
        <sz val="11"/>
        <color rgb="FF000000"/>
        <rFont val="Times New Roman"/>
        <family val="1"/>
        <charset val="204"/>
      </rPr>
      <t xml:space="preserve">}</t>
    </r>
  </si>
  <si>
    <r>
      <rPr>
        <b val="true"/>
        <sz val="11"/>
        <color rgb="FF000000"/>
        <rFont val="Times New Roman"/>
        <family val="1"/>
        <charset val="204"/>
      </rPr>
      <t xml:space="preserve">${forklift.</t>
    </r>
    <r>
      <rPr>
        <sz val="11"/>
        <color rgb="FF000000"/>
        <rFont val="Times New Roman"/>
        <family val="1"/>
        <charset val="1"/>
      </rPr>
      <t xml:space="preserve">atEndDateCount</t>
    </r>
    <r>
      <rPr>
        <b val="true"/>
        <sz val="11"/>
        <color rgb="FF000000"/>
        <rFont val="Times New Roman"/>
        <family val="1"/>
        <charset val="204"/>
      </rPr>
      <t xml:space="preserve">}</t>
    </r>
  </si>
  <si>
    <t xml:space="preserve">Дождевальные и поливальные машины и установки</t>
  </si>
  <si>
    <t xml:space="preserve">171900</t>
  </si>
  <si>
    <r>
      <rPr>
        <b val="true"/>
        <sz val="12"/>
        <color rgb="FF000000"/>
        <rFont val="Calibri"/>
        <family val="2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irrigation_system.atStartDateCount</t>
    </r>
    <r>
      <rPr>
        <b val="true"/>
        <sz val="12"/>
        <color rgb="FF000000"/>
        <rFont val="Calibri"/>
        <family val="2"/>
        <charset val="1"/>
      </rPr>
      <t xml:space="preserve">}</t>
    </r>
  </si>
  <si>
    <r>
      <rPr>
        <b val="true"/>
        <sz val="11"/>
        <color rgb="FF000000"/>
        <rFont val="Times New Roman"/>
        <family val="1"/>
        <charset val="204"/>
      </rPr>
      <t xml:space="preserve">${irrigation_system</t>
    </r>
    <r>
      <rPr>
        <b val="true"/>
        <sz val="11"/>
        <color rgb="FF000000"/>
        <rFont val="Times New Roman"/>
        <family val="1"/>
        <charset val="1"/>
      </rPr>
      <t xml:space="preserve">.</t>
    </r>
    <r>
      <rPr>
        <sz val="11"/>
        <color rgb="FF000000"/>
        <rFont val="Times New Roman"/>
        <family val="1"/>
        <charset val="1"/>
      </rPr>
      <t xml:space="preserve">incomingCount</t>
    </r>
    <r>
      <rPr>
        <b val="true"/>
        <sz val="11"/>
        <color rgb="FF000000"/>
        <rFont val="Times New Roman"/>
        <family val="1"/>
        <charset val="1"/>
      </rPr>
      <t xml:space="preserve">}</t>
    </r>
  </si>
  <si>
    <r>
      <rPr>
        <b val="true"/>
        <sz val="11"/>
        <color rgb="FF000000"/>
        <rFont val="Times New Roman"/>
        <family val="1"/>
        <charset val="204"/>
      </rPr>
      <t xml:space="preserve">${irrigation_system</t>
    </r>
    <r>
      <rPr>
        <b val="true"/>
        <sz val="11"/>
        <color rgb="FF000000"/>
        <rFont val="Times New Roman"/>
        <family val="1"/>
        <charset val="1"/>
      </rPr>
      <t xml:space="preserve">.decommissionedCount}</t>
    </r>
  </si>
  <si>
    <r>
      <rPr>
        <b val="true"/>
        <sz val="11"/>
        <color rgb="FF000000"/>
        <rFont val="Times New Roman"/>
        <family val="1"/>
        <charset val="204"/>
      </rPr>
      <t xml:space="preserve">${irrigation_system</t>
    </r>
    <r>
      <rPr>
        <b val="true"/>
        <sz val="11"/>
        <color rgb="FF000000"/>
        <rFont val="Times New Roman"/>
        <family val="1"/>
        <charset val="1"/>
      </rPr>
      <t xml:space="preserve">.</t>
    </r>
    <r>
      <rPr>
        <sz val="11"/>
        <color rgb="FF000000"/>
        <rFont val="Times New Roman"/>
        <family val="1"/>
        <charset val="1"/>
      </rPr>
      <t xml:space="preserve">atEndDateCount</t>
    </r>
    <r>
      <rPr>
        <b val="true"/>
        <sz val="11"/>
        <color rgb="FF000000"/>
        <rFont val="Times New Roman"/>
        <family val="1"/>
        <charset val="1"/>
      </rPr>
      <t xml:space="preserve">}</t>
    </r>
  </si>
  <si>
    <t xml:space="preserve">Единица измерения</t>
  </si>
  <si>
    <t xml:space="preserve">За отчетный год</t>
  </si>
  <si>
    <t xml:space="preserve">Всего энергетических мощностей</t>
  </si>
  <si>
    <t xml:space="preserve">172110</t>
  </si>
  <si>
    <t xml:space="preserve">л.с.</t>
  </si>
  <si>
    <t xml:space="preserve">Выработано электроэнергии своими электростанциями</t>
  </si>
  <si>
    <t xml:space="preserve">172120</t>
  </si>
  <si>
    <t xml:space="preserve">тыс. кВт.ч</t>
  </si>
  <si>
    <t xml:space="preserve">Получено электроэнергии со стороны</t>
  </si>
  <si>
    <t xml:space="preserve">172130</t>
  </si>
  <si>
    <r>
      <rPr>
        <sz val="12"/>
        <color rgb="FF000000"/>
        <rFont val="Calibri"/>
        <family val="2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</t>
    </r>
    <r>
      <rPr>
        <sz val="12"/>
        <color rgb="FF000000"/>
        <rFont val="Calibri"/>
        <family val="2"/>
        <charset val="1"/>
      </rPr>
      <t xml:space="preserve">172130.totalAmount}</t>
    </r>
  </si>
  <si>
    <t xml:space="preserve">Отпущено электроэнергии (потреблено)</t>
  </si>
  <si>
    <t xml:space="preserve">172140</t>
  </si>
  <si>
    <t xml:space="preserve">в том числе: 
на производственные нужды</t>
  </si>
  <si>
    <t xml:space="preserve">172141</t>
  </si>
  <si>
    <r>
      <rPr>
        <sz val="12"/>
        <color rgb="FF000000"/>
        <rFont val="Calibri"/>
        <family val="2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</t>
    </r>
    <r>
      <rPr>
        <sz val="12"/>
        <color rgb="FF000000"/>
        <rFont val="Calibri"/>
        <family val="2"/>
        <charset val="1"/>
      </rPr>
      <t xml:space="preserve">172141.</t>
    </r>
    <r>
      <rPr>
        <sz val="12"/>
        <color rgb="FF000000"/>
        <rFont val="Times New Roman"/>
        <family val="1"/>
        <charset val="1"/>
      </rPr>
      <t xml:space="preserve">totalAmount</t>
    </r>
    <r>
      <rPr>
        <sz val="12"/>
        <color rgb="FF000000"/>
        <rFont val="Calibri"/>
        <family val="2"/>
        <charset val="1"/>
      </rPr>
      <t xml:space="preserve">}</t>
    </r>
  </si>
  <si>
    <t xml:space="preserve">из них: 
на доработку, очистку и сушку</t>
  </si>
  <si>
    <t xml:space="preserve">172141.1</t>
  </si>
  <si>
    <t xml:space="preserve">для тепличных комплексов</t>
  </si>
  <si>
    <t xml:space="preserve">172141.2</t>
  </si>
  <si>
    <t xml:space="preserve">Объем потребляемого газа - всего</t>
  </si>
  <si>
    <t xml:space="preserve">172150</t>
  </si>
  <si>
    <t xml:space="preserve">кубический метр</t>
  </si>
  <si>
    <t xml:space="preserve">172151</t>
  </si>
  <si>
    <r>
      <rPr>
        <sz val="12"/>
        <color rgb="FF000000"/>
        <rFont val="Calibri"/>
        <family val="2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</t>
    </r>
    <r>
      <rPr>
        <sz val="12"/>
        <color rgb="FF000000"/>
        <rFont val="Calibri"/>
        <family val="2"/>
        <charset val="1"/>
      </rPr>
      <t xml:space="preserve">172151.</t>
    </r>
    <r>
      <rPr>
        <sz val="12"/>
        <color rgb="FF000000"/>
        <rFont val="Times New Roman"/>
        <family val="1"/>
        <charset val="1"/>
      </rPr>
      <t xml:space="preserve">totalAmount</t>
    </r>
    <r>
      <rPr>
        <sz val="12"/>
        <color rgb="FF000000"/>
        <rFont val="Calibri"/>
        <family val="2"/>
        <charset val="1"/>
      </rPr>
      <t xml:space="preserve">}</t>
    </r>
  </si>
  <si>
    <t xml:space="preserve">172151.1</t>
  </si>
  <si>
    <t xml:space="preserve">172151.2</t>
  </si>
  <si>
    <t xml:space="preserve">Объем потребляемых нефтепродуктов всех видов - всего</t>
  </si>
  <si>
    <t xml:space="preserve">172160</t>
  </si>
  <si>
    <t xml:space="preserve">тонн</t>
  </si>
  <si>
    <t xml:space="preserve">172161</t>
  </si>
  <si>
    <r>
      <rPr>
        <sz val="12"/>
        <color rgb="FF000000"/>
        <rFont val="Calibri"/>
        <family val="2"/>
        <charset val="1"/>
      </rPr>
      <t xml:space="preserve">${</t>
    </r>
    <r>
      <rPr>
        <sz val="10"/>
        <color rgb="FF000000"/>
        <rFont val="JetBrains Mono"/>
        <family val="3"/>
        <charset val="1"/>
      </rPr>
      <t xml:space="preserve">expense_current_period_</t>
    </r>
    <r>
      <rPr>
        <sz val="12"/>
        <color rgb="FF000000"/>
        <rFont val="Calibri"/>
        <family val="2"/>
        <charset val="1"/>
      </rPr>
      <t xml:space="preserve">172161.</t>
    </r>
    <r>
      <rPr>
        <sz val="12"/>
        <color rgb="FF000000"/>
        <rFont val="Times New Roman"/>
        <family val="1"/>
        <charset val="1"/>
      </rPr>
      <t xml:space="preserve">totalAmount</t>
    </r>
    <r>
      <rPr>
        <sz val="12"/>
        <color rgb="FF000000"/>
        <rFont val="Calibri"/>
        <family val="2"/>
        <charset val="1"/>
      </rPr>
      <t xml:space="preserve">}</t>
    </r>
  </si>
  <si>
    <t xml:space="preserve">172161.1</t>
  </si>
  <si>
    <t xml:space="preserve">172161.2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</si>
</sst>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[=0]\-;General"/>
    <numFmt numFmtId="167" formatCode="@"/>
    <numFmt numFmtId="168" formatCode="0"/>
    <numFmt numFmtId="169" formatCode="General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  <charset val="204"/>
    </font>
    <font>
      <i val="true"/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1"/>
    </font>
    <font>
      <sz val="11"/>
      <color rgb="FFC9211E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2"/>
      <color rgb="FF000000"/>
      <name val="Calibri"/>
      <family val="2"/>
      <charset val="1"/>
    </font>
    <font>
      <sz val="10"/>
      <color rgb="FF000000"/>
      <name val="JetBrains Mono"/>
      <family val="3"/>
      <charset val="1"/>
    </font>
    <font>
      <sz val="12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12"/>
      <color rgb="FF000000"/>
      <name val="Calibri"/>
      <family val="2"/>
      <charset val="1"/>
    </font>
    <font>
      <sz val="9"/>
      <color rgb="FF000000"/>
      <name val="Tahoma"/>
      <family val="2"/>
      <charset val="204"/>
    </font>
    <font>
      <sz val="10"/>
      <name val="Times New Roman"/>
      <family val="1"/>
      <charset val="204"/>
    </font>
    <font>
      <i val="true"/>
      <sz val="8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2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2" borderId="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3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8" fillId="2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3" shrinkToFit="false"/>
      <protection locked="true" hidden="false"/>
    </xf>
    <xf numFmtId="166" fontId="9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2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4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5" shrinkToFit="false"/>
      <protection locked="true" hidden="false"/>
    </xf>
    <xf numFmtId="168" fontId="8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2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2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2" borderId="1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8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078125" defaultRowHeight="14.25" zeroHeight="false" outlineLevelRow="0" outlineLevelCol="0"/>
  <cols>
    <col collapsed="false" customWidth="true" hidden="false" outlineLevel="0" max="1" min="1" style="0" width="42.87"/>
    <col collapsed="false" customWidth="true" hidden="false" outlineLevel="0" max="2" min="2" style="0" width="7.75"/>
    <col collapsed="false" customWidth="true" hidden="false" outlineLevel="0" max="3" min="3" style="0" width="29"/>
    <col collapsed="false" customWidth="true" hidden="false" outlineLevel="0" max="4" min="4" style="0" width="11.25"/>
    <col collapsed="false" customWidth="true" hidden="false" outlineLevel="0" max="5" min="5" style="0" width="26.79"/>
    <col collapsed="false" customWidth="true" hidden="false" outlineLevel="0" max="7" min="6" style="0" width="11.25"/>
    <col collapsed="false" customWidth="true" hidden="false" outlineLevel="0" max="8" min="8" style="0" width="36.49"/>
    <col collapsed="false" customWidth="true" hidden="false" outlineLevel="0" max="9" min="9" style="0" width="11.25"/>
    <col collapsed="false" customWidth="true" hidden="false" outlineLevel="0" max="10" min="10" style="0" width="28.55"/>
    <col collapsed="false" customWidth="true" hidden="false" outlineLevel="0" max="12" min="11" style="0" width="11.25"/>
  </cols>
  <sheetData>
    <row r="1" customFormat="false" ht="14.25" hidden="false" customHeight="true" outlineLevel="0" collapsed="false">
      <c r="A1" s="1" t="s">
        <v>0</v>
      </c>
      <c r="B1" s="2" t="s">
        <v>1</v>
      </c>
      <c r="C1" s="1" t="s">
        <v>2</v>
      </c>
      <c r="D1" s="1"/>
      <c r="E1" s="1" t="s">
        <v>3</v>
      </c>
      <c r="F1" s="1"/>
      <c r="G1" s="1"/>
      <c r="H1" s="1" t="s">
        <v>4</v>
      </c>
      <c r="I1" s="1"/>
      <c r="J1" s="1" t="s">
        <v>5</v>
      </c>
      <c r="K1" s="1"/>
      <c r="L1" s="1"/>
    </row>
    <row r="2" customFormat="false" ht="57" hidden="false" customHeight="false" outlineLevel="0" collapsed="false">
      <c r="A2" s="1"/>
      <c r="B2" s="2"/>
      <c r="C2" s="1" t="s">
        <v>6</v>
      </c>
      <c r="D2" s="1" t="s">
        <v>7</v>
      </c>
      <c r="E2" s="1" t="s">
        <v>6</v>
      </c>
      <c r="F2" s="1" t="s">
        <v>8</v>
      </c>
      <c r="G2" s="1" t="s">
        <v>9</v>
      </c>
      <c r="H2" s="1" t="s">
        <v>6</v>
      </c>
      <c r="I2" s="1" t="s">
        <v>10</v>
      </c>
      <c r="J2" s="1" t="s">
        <v>6</v>
      </c>
      <c r="K2" s="1" t="s">
        <v>7</v>
      </c>
      <c r="L2" s="1" t="s">
        <v>11</v>
      </c>
    </row>
    <row r="3" customFormat="false" ht="14.2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</row>
    <row r="4" customFormat="false" ht="38.25" hidden="false" customHeight="true" outlineLevel="0" collapsed="false">
      <c r="A4" s="4" t="s">
        <v>24</v>
      </c>
      <c r="B4" s="5" t="s">
        <v>25</v>
      </c>
      <c r="C4" s="6" t="str">
        <f aca="false">C5</f>
        <v>${tractor.atStartDateCount}</v>
      </c>
      <c r="D4" s="7"/>
      <c r="E4" s="6" t="str">
        <f aca="false">E5</f>
        <v>${tractor.incomingCount}</v>
      </c>
      <c r="F4" s="6"/>
      <c r="G4" s="7"/>
      <c r="H4" s="6" t="str">
        <f aca="false">H5</f>
        <v>${tractor.decommissionedCount}</v>
      </c>
      <c r="I4" s="7"/>
      <c r="J4" s="6" t="str">
        <f aca="false">J5</f>
        <v>${tractor.atEndDateCount}</v>
      </c>
      <c r="K4" s="7"/>
      <c r="L4" s="8"/>
      <c r="N4" s="9"/>
    </row>
    <row r="5" customFormat="false" ht="28.5" hidden="false" customHeight="false" outlineLevel="0" collapsed="false">
      <c r="A5" s="10" t="s">
        <v>26</v>
      </c>
      <c r="B5" s="11" t="s">
        <v>27</v>
      </c>
      <c r="C5" s="12" t="s">
        <v>28</v>
      </c>
      <c r="D5" s="12"/>
      <c r="E5" s="12" t="s">
        <v>29</v>
      </c>
      <c r="F5" s="12"/>
      <c r="G5" s="12"/>
      <c r="H5" s="12" t="s">
        <v>30</v>
      </c>
      <c r="I5" s="12"/>
      <c r="J5" s="12" t="s">
        <v>31</v>
      </c>
      <c r="K5" s="12"/>
      <c r="L5" s="13"/>
    </row>
    <row r="6" customFormat="false" ht="14.25" hidden="false" customHeight="false" outlineLevel="0" collapsed="false">
      <c r="A6" s="10" t="s">
        <v>32</v>
      </c>
      <c r="B6" s="11" t="s">
        <v>33</v>
      </c>
      <c r="C6" s="12"/>
      <c r="D6" s="12"/>
      <c r="E6" s="12"/>
      <c r="F6" s="12"/>
      <c r="G6" s="12"/>
      <c r="H6" s="12"/>
      <c r="I6" s="12"/>
      <c r="J6" s="12"/>
      <c r="K6" s="12"/>
      <c r="L6" s="13"/>
    </row>
    <row r="7" customFormat="false" ht="37.3" hidden="false" customHeight="false" outlineLevel="0" collapsed="false">
      <c r="A7" s="14" t="s">
        <v>34</v>
      </c>
      <c r="B7" s="11" t="s">
        <v>35</v>
      </c>
      <c r="C7" s="15"/>
      <c r="D7" s="12"/>
      <c r="E7" s="12"/>
      <c r="F7" s="12"/>
      <c r="G7" s="12"/>
      <c r="H7" s="12"/>
      <c r="I7" s="12"/>
      <c r="J7" s="12"/>
      <c r="K7" s="12"/>
      <c r="L7" s="13"/>
    </row>
    <row r="8" customFormat="false" ht="57" hidden="false" customHeight="false" outlineLevel="0" collapsed="false">
      <c r="A8" s="4" t="s">
        <v>36</v>
      </c>
      <c r="B8" s="16" t="s">
        <v>37</v>
      </c>
      <c r="C8" s="17" t="n">
        <f aca="false">SUM(C9:C13)</f>
        <v>0</v>
      </c>
      <c r="D8" s="18"/>
      <c r="E8" s="17" t="n">
        <f aca="false">SUM(E9:E13)</f>
        <v>0</v>
      </c>
      <c r="F8" s="17"/>
      <c r="G8" s="18"/>
      <c r="H8" s="19" t="n">
        <f aca="false">SUM(H9:H13)</f>
        <v>0</v>
      </c>
      <c r="I8" s="18"/>
      <c r="J8" s="17" t="n">
        <f aca="false">SUM(J9:J13)</f>
        <v>0</v>
      </c>
      <c r="K8" s="18"/>
      <c r="L8" s="20"/>
    </row>
    <row r="9" customFormat="false" ht="28.5" hidden="false" customHeight="false" outlineLevel="0" collapsed="false">
      <c r="A9" s="10" t="s">
        <v>38</v>
      </c>
      <c r="B9" s="11" t="s">
        <v>39</v>
      </c>
      <c r="C9" s="12" t="s">
        <v>40</v>
      </c>
      <c r="D9" s="12"/>
      <c r="E9" s="12" t="s">
        <v>41</v>
      </c>
      <c r="F9" s="12"/>
      <c r="G9" s="12"/>
      <c r="H9" s="21" t="s">
        <v>42</v>
      </c>
      <c r="I9" s="12"/>
      <c r="J9" s="12" t="s">
        <v>43</v>
      </c>
      <c r="K9" s="12"/>
      <c r="L9" s="13"/>
    </row>
    <row r="10" customFormat="false" ht="37.3" hidden="false" customHeight="false" outlineLevel="0" collapsed="false">
      <c r="A10" s="10" t="s">
        <v>44</v>
      </c>
      <c r="B10" s="11" t="s">
        <v>45</v>
      </c>
      <c r="C10" s="12" t="s">
        <v>46</v>
      </c>
      <c r="D10" s="12"/>
      <c r="E10" s="12" t="s">
        <v>47</v>
      </c>
      <c r="F10" s="22"/>
      <c r="G10" s="12"/>
      <c r="H10" s="23" t="s">
        <v>48</v>
      </c>
      <c r="I10" s="12"/>
      <c r="J10" s="12" t="s">
        <v>49</v>
      </c>
      <c r="K10" s="12"/>
      <c r="L10" s="13"/>
    </row>
    <row r="11" customFormat="false" ht="25.35" hidden="false" customHeight="false" outlineLevel="0" collapsed="false">
      <c r="A11" s="10" t="s">
        <v>50</v>
      </c>
      <c r="B11" s="11" t="s">
        <v>51</v>
      </c>
      <c r="C11" s="12" t="s">
        <v>52</v>
      </c>
      <c r="D11" s="12"/>
      <c r="E11" s="12" t="s">
        <v>53</v>
      </c>
      <c r="F11" s="12"/>
      <c r="G11" s="12"/>
      <c r="H11" s="12" t="s">
        <v>54</v>
      </c>
      <c r="I11" s="12"/>
      <c r="J11" s="12" t="s">
        <v>55</v>
      </c>
      <c r="K11" s="12"/>
      <c r="L11" s="13"/>
    </row>
    <row r="12" customFormat="false" ht="37.3" hidden="false" customHeight="false" outlineLevel="0" collapsed="false">
      <c r="A12" s="10" t="s">
        <v>56</v>
      </c>
      <c r="B12" s="11" t="s">
        <v>57</v>
      </c>
      <c r="C12" s="12" t="s">
        <v>58</v>
      </c>
      <c r="D12" s="12"/>
      <c r="E12" s="12" t="s">
        <v>59</v>
      </c>
      <c r="F12" s="12"/>
      <c r="G12" s="12"/>
      <c r="H12" s="12" t="s">
        <v>60</v>
      </c>
      <c r="I12" s="12"/>
      <c r="J12" s="12" t="s">
        <v>61</v>
      </c>
      <c r="K12" s="12"/>
      <c r="L12" s="13"/>
    </row>
    <row r="13" customFormat="false" ht="33.55" hidden="false" customHeight="true" outlineLevel="0" collapsed="false">
      <c r="A13" s="10" t="s">
        <v>62</v>
      </c>
      <c r="B13" s="11" t="s">
        <v>63</v>
      </c>
      <c r="C13" s="24" t="s">
        <v>64</v>
      </c>
      <c r="D13" s="12"/>
      <c r="E13" s="25" t="s">
        <v>65</v>
      </c>
      <c r="F13" s="12"/>
      <c r="G13" s="12"/>
      <c r="H13" s="25" t="s">
        <v>66</v>
      </c>
      <c r="I13" s="12"/>
      <c r="J13" s="25" t="s">
        <v>67</v>
      </c>
      <c r="K13" s="12"/>
      <c r="L13" s="13"/>
    </row>
    <row r="14" customFormat="false" ht="42.75" hidden="false" customHeight="false" outlineLevel="0" collapsed="false">
      <c r="A14" s="4" t="s">
        <v>68</v>
      </c>
      <c r="B14" s="16" t="s">
        <v>69</v>
      </c>
      <c r="C14" s="17" t="e">
        <f aca="false">C15+C19</f>
        <v>#VALUE!</v>
      </c>
      <c r="D14" s="18"/>
      <c r="E14" s="18" t="e">
        <f aca="false">E15+E19</f>
        <v>#VALUE!</v>
      </c>
      <c r="F14" s="18"/>
      <c r="G14" s="18"/>
      <c r="H14" s="18" t="e">
        <f aca="false">H15+H19</f>
        <v>#VALUE!</v>
      </c>
      <c r="I14" s="18"/>
      <c r="J14" s="17" t="e">
        <f aca="false">J15+J19</f>
        <v>#VALUE!</v>
      </c>
      <c r="K14" s="18"/>
      <c r="L14" s="20"/>
    </row>
    <row r="15" customFormat="false" ht="37.3" hidden="false" customHeight="false" outlineLevel="0" collapsed="false">
      <c r="A15" s="10" t="s">
        <v>70</v>
      </c>
      <c r="B15" s="11" t="s">
        <v>71</v>
      </c>
      <c r="C15" s="24" t="s">
        <v>72</v>
      </c>
      <c r="D15" s="12"/>
      <c r="E15" s="26" t="s">
        <v>73</v>
      </c>
      <c r="F15" s="12"/>
      <c r="G15" s="12"/>
      <c r="H15" s="26" t="s">
        <v>74</v>
      </c>
      <c r="I15" s="12"/>
      <c r="J15" s="26" t="s">
        <v>75</v>
      </c>
      <c r="K15" s="12"/>
      <c r="L15" s="13"/>
    </row>
    <row r="16" customFormat="false" ht="28.5" hidden="false" customHeight="false" outlineLevel="0" collapsed="false">
      <c r="A16" s="27" t="s">
        <v>76</v>
      </c>
      <c r="B16" s="11" t="s">
        <v>77</v>
      </c>
      <c r="C16" s="12"/>
      <c r="D16" s="12"/>
      <c r="E16" s="12"/>
      <c r="F16" s="12"/>
      <c r="G16" s="12"/>
      <c r="H16" s="12"/>
      <c r="I16" s="12"/>
      <c r="J16" s="12"/>
      <c r="K16" s="12"/>
      <c r="L16" s="13"/>
    </row>
    <row r="17" customFormat="false" ht="28.5" hidden="false" customHeight="false" outlineLevel="0" collapsed="false">
      <c r="A17" s="10" t="s">
        <v>78</v>
      </c>
      <c r="B17" s="11" t="s">
        <v>79</v>
      </c>
      <c r="C17" s="12"/>
      <c r="D17" s="12"/>
      <c r="E17" s="12"/>
      <c r="F17" s="12"/>
      <c r="G17" s="12"/>
      <c r="H17" s="12"/>
      <c r="I17" s="12"/>
      <c r="J17" s="12"/>
      <c r="K17" s="12"/>
      <c r="L17" s="13"/>
    </row>
    <row r="18" customFormat="false" ht="28.5" hidden="false" customHeight="false" outlineLevel="0" collapsed="false">
      <c r="A18" s="10" t="s">
        <v>80</v>
      </c>
      <c r="B18" s="11" t="s">
        <v>81</v>
      </c>
      <c r="C18" s="12"/>
      <c r="D18" s="12"/>
      <c r="E18" s="12"/>
      <c r="F18" s="12"/>
      <c r="G18" s="12"/>
      <c r="H18" s="12"/>
      <c r="I18" s="12"/>
      <c r="J18" s="12"/>
      <c r="K18" s="12"/>
      <c r="L18" s="13"/>
    </row>
    <row r="19" customFormat="false" ht="28.5" hidden="false" customHeight="false" outlineLevel="0" collapsed="false">
      <c r="A19" s="10" t="s">
        <v>82</v>
      </c>
      <c r="B19" s="11" t="s">
        <v>83</v>
      </c>
      <c r="C19" s="28" t="str">
        <f aca="false">C20</f>
        <v>${combine_harvester.atStartDateCount}</v>
      </c>
      <c r="D19" s="12"/>
      <c r="E19" s="29" t="str">
        <f aca="false">E20</f>
        <v>${combine_harvester.incomingCount}</v>
      </c>
      <c r="F19" s="12"/>
      <c r="G19" s="12"/>
      <c r="H19" s="29" t="str">
        <f aca="false">H20</f>
        <v>${combine_harvester.decommissionedCount}</v>
      </c>
      <c r="I19" s="12"/>
      <c r="J19" s="28" t="str">
        <f aca="false">J20</f>
        <v>${combine_harvester.atEndDateCount}</v>
      </c>
      <c r="K19" s="12"/>
      <c r="L19" s="13"/>
    </row>
    <row r="20" customFormat="false" ht="25.35" hidden="false" customHeight="false" outlineLevel="0" collapsed="false">
      <c r="A20" s="27" t="s">
        <v>84</v>
      </c>
      <c r="B20" s="11" t="s">
        <v>85</v>
      </c>
      <c r="C20" s="12" t="s">
        <v>86</v>
      </c>
      <c r="D20" s="12"/>
      <c r="E20" s="12" t="s">
        <v>87</v>
      </c>
      <c r="F20" s="12"/>
      <c r="G20" s="12"/>
      <c r="H20" s="12" t="s">
        <v>88</v>
      </c>
      <c r="I20" s="12"/>
      <c r="J20" s="12" t="s">
        <v>89</v>
      </c>
      <c r="K20" s="12"/>
      <c r="L20" s="13"/>
    </row>
    <row r="21" customFormat="false" ht="14.25" hidden="false" customHeight="false" outlineLevel="0" collapsed="false">
      <c r="A21" s="27" t="s">
        <v>90</v>
      </c>
      <c r="B21" s="11" t="s">
        <v>91</v>
      </c>
      <c r="C21" s="12"/>
      <c r="D21" s="12"/>
      <c r="E21" s="12"/>
      <c r="F21" s="12"/>
      <c r="G21" s="12"/>
      <c r="H21" s="12"/>
      <c r="I21" s="12"/>
      <c r="J21" s="12"/>
      <c r="K21" s="12"/>
      <c r="L21" s="13"/>
    </row>
    <row r="22" customFormat="false" ht="28.5" hidden="false" customHeight="false" outlineLevel="0" collapsed="false">
      <c r="A22" s="10" t="s">
        <v>92</v>
      </c>
      <c r="B22" s="11" t="s">
        <v>93</v>
      </c>
      <c r="C22" s="12"/>
      <c r="D22" s="12"/>
      <c r="E22" s="12"/>
      <c r="F22" s="12"/>
      <c r="G22" s="12"/>
      <c r="H22" s="12"/>
      <c r="I22" s="12"/>
      <c r="J22" s="12"/>
      <c r="K22" s="12"/>
      <c r="L22" s="13"/>
    </row>
    <row r="23" customFormat="false" ht="28.5" hidden="false" customHeight="false" outlineLevel="0" collapsed="false">
      <c r="A23" s="10" t="s">
        <v>94</v>
      </c>
      <c r="B23" s="11" t="s">
        <v>95</v>
      </c>
      <c r="C23" s="12"/>
      <c r="D23" s="12"/>
      <c r="E23" s="12"/>
      <c r="F23" s="12"/>
      <c r="G23" s="12"/>
      <c r="H23" s="12"/>
      <c r="I23" s="12"/>
      <c r="J23" s="12"/>
      <c r="K23" s="12"/>
      <c r="L23" s="13"/>
    </row>
    <row r="24" customFormat="false" ht="42.75" hidden="false" customHeight="false" outlineLevel="0" collapsed="false">
      <c r="A24" s="10" t="s">
        <v>96</v>
      </c>
      <c r="B24" s="11" t="s">
        <v>97</v>
      </c>
      <c r="C24" s="12"/>
      <c r="D24" s="12"/>
      <c r="E24" s="12"/>
      <c r="F24" s="12"/>
      <c r="G24" s="12"/>
      <c r="H24" s="12"/>
      <c r="I24" s="12"/>
      <c r="J24" s="12"/>
      <c r="K24" s="12"/>
      <c r="L24" s="13"/>
    </row>
    <row r="25" customFormat="false" ht="28.5" hidden="false" customHeight="false" outlineLevel="0" collapsed="false">
      <c r="A25" s="10" t="s">
        <v>98</v>
      </c>
      <c r="B25" s="11" t="s">
        <v>99</v>
      </c>
      <c r="C25" s="12"/>
      <c r="D25" s="12"/>
      <c r="E25" s="12"/>
      <c r="F25" s="12"/>
      <c r="G25" s="12"/>
      <c r="H25" s="12"/>
      <c r="I25" s="12"/>
      <c r="J25" s="12"/>
      <c r="K25" s="12"/>
      <c r="L25" s="13"/>
    </row>
    <row r="26" customFormat="false" ht="42.75" hidden="false" customHeight="false" outlineLevel="0" collapsed="false">
      <c r="A26" s="10" t="s">
        <v>100</v>
      </c>
      <c r="B26" s="11" t="s">
        <v>101</v>
      </c>
      <c r="C26" s="12"/>
      <c r="D26" s="12"/>
      <c r="E26" s="12"/>
      <c r="F26" s="12"/>
      <c r="G26" s="12"/>
      <c r="H26" s="12"/>
      <c r="I26" s="12"/>
      <c r="J26" s="12"/>
      <c r="K26" s="12"/>
      <c r="L26" s="13"/>
    </row>
    <row r="27" customFormat="false" ht="57" hidden="false" customHeight="false" outlineLevel="0" collapsed="false">
      <c r="A27" s="4" t="s">
        <v>102</v>
      </c>
      <c r="B27" s="16" t="s">
        <v>103</v>
      </c>
      <c r="C27" s="18"/>
      <c r="D27" s="18"/>
      <c r="E27" s="18"/>
      <c r="F27" s="18"/>
      <c r="G27" s="18"/>
      <c r="H27" s="18"/>
      <c r="I27" s="18"/>
      <c r="J27" s="18"/>
      <c r="K27" s="18"/>
      <c r="L27" s="20"/>
    </row>
    <row r="28" customFormat="false" ht="28.5" hidden="false" customHeight="false" outlineLevel="0" collapsed="false">
      <c r="A28" s="10" t="s">
        <v>104</v>
      </c>
      <c r="B28" s="11" t="s">
        <v>105</v>
      </c>
      <c r="C28" s="12"/>
      <c r="D28" s="12"/>
      <c r="E28" s="12"/>
      <c r="F28" s="12"/>
      <c r="G28" s="12"/>
      <c r="H28" s="12"/>
      <c r="I28" s="12"/>
      <c r="J28" s="12"/>
      <c r="K28" s="12"/>
      <c r="L28" s="13"/>
    </row>
    <row r="29" customFormat="false" ht="28.5" hidden="false" customHeight="false" outlineLevel="0" collapsed="false">
      <c r="A29" s="10" t="s">
        <v>106</v>
      </c>
      <c r="B29" s="11" t="s">
        <v>107</v>
      </c>
      <c r="C29" s="12"/>
      <c r="D29" s="12"/>
      <c r="E29" s="12"/>
      <c r="F29" s="12"/>
      <c r="G29" s="12"/>
      <c r="H29" s="12"/>
      <c r="I29" s="12"/>
      <c r="J29" s="12"/>
      <c r="K29" s="12"/>
      <c r="L29" s="13"/>
    </row>
    <row r="30" customFormat="false" ht="28.5" hidden="false" customHeight="false" outlineLevel="0" collapsed="false">
      <c r="A30" s="27" t="s">
        <v>108</v>
      </c>
      <c r="B30" s="11" t="s">
        <v>109</v>
      </c>
      <c r="C30" s="12"/>
      <c r="D30" s="12"/>
      <c r="E30" s="12"/>
      <c r="F30" s="12"/>
      <c r="G30" s="12"/>
      <c r="H30" s="12"/>
      <c r="I30" s="12"/>
      <c r="J30" s="12"/>
      <c r="K30" s="12"/>
      <c r="L30" s="13"/>
    </row>
    <row r="31" customFormat="false" ht="14.25" hidden="false" customHeight="false" outlineLevel="0" collapsed="false">
      <c r="A31" s="10" t="s">
        <v>110</v>
      </c>
      <c r="B31" s="11" t="s">
        <v>111</v>
      </c>
      <c r="C31" s="12"/>
      <c r="D31" s="12"/>
      <c r="E31" s="12"/>
      <c r="F31" s="12"/>
      <c r="G31" s="12"/>
      <c r="H31" s="12"/>
      <c r="I31" s="12"/>
      <c r="J31" s="12"/>
      <c r="K31" s="12"/>
      <c r="L31" s="13"/>
    </row>
    <row r="32" customFormat="false" ht="28.5" hidden="false" customHeight="false" outlineLevel="0" collapsed="false">
      <c r="A32" s="10" t="s">
        <v>112</v>
      </c>
      <c r="B32" s="11" t="s">
        <v>113</v>
      </c>
      <c r="C32" s="12"/>
      <c r="D32" s="12"/>
      <c r="E32" s="12"/>
      <c r="F32" s="12"/>
      <c r="G32" s="12"/>
      <c r="H32" s="12"/>
      <c r="I32" s="12"/>
      <c r="J32" s="12"/>
      <c r="K32" s="12"/>
      <c r="L32" s="13"/>
    </row>
    <row r="33" customFormat="false" ht="57" hidden="false" customHeight="false" outlineLevel="0" collapsed="false">
      <c r="A33" s="10" t="s">
        <v>114</v>
      </c>
      <c r="B33" s="11" t="s">
        <v>115</v>
      </c>
      <c r="C33" s="12"/>
      <c r="D33" s="12"/>
      <c r="E33" s="12"/>
      <c r="F33" s="12"/>
      <c r="G33" s="12"/>
      <c r="H33" s="12"/>
      <c r="I33" s="12"/>
      <c r="J33" s="12"/>
      <c r="K33" s="12"/>
      <c r="L33" s="13"/>
    </row>
    <row r="34" customFormat="false" ht="57" hidden="false" customHeight="false" outlineLevel="0" collapsed="false">
      <c r="A34" s="4" t="s">
        <v>116</v>
      </c>
      <c r="B34" s="16" t="s">
        <v>117</v>
      </c>
      <c r="C34" s="18"/>
      <c r="D34" s="18"/>
      <c r="E34" s="18"/>
      <c r="F34" s="18"/>
      <c r="G34" s="18"/>
      <c r="H34" s="18"/>
      <c r="I34" s="18"/>
      <c r="J34" s="18"/>
      <c r="K34" s="18"/>
      <c r="L34" s="20"/>
    </row>
    <row r="35" customFormat="false" ht="13.8" hidden="false" customHeight="false" outlineLevel="0" collapsed="false">
      <c r="A35" s="4" t="s">
        <v>118</v>
      </c>
      <c r="B35" s="16" t="s">
        <v>119</v>
      </c>
      <c r="C35" s="18" t="s">
        <v>120</v>
      </c>
      <c r="D35" s="18"/>
      <c r="E35" s="18" t="s">
        <v>121</v>
      </c>
      <c r="F35" s="18"/>
      <c r="G35" s="18"/>
      <c r="H35" s="18" t="s">
        <v>122</v>
      </c>
      <c r="I35" s="18"/>
      <c r="J35" s="18" t="s">
        <v>123</v>
      </c>
      <c r="K35" s="18"/>
      <c r="L35" s="20"/>
    </row>
    <row r="36" customFormat="false" ht="14.25" hidden="false" customHeight="false" outlineLevel="0" collapsed="false">
      <c r="A36" s="4" t="s">
        <v>124</v>
      </c>
      <c r="B36" s="16" t="s">
        <v>125</v>
      </c>
      <c r="C36" s="18"/>
      <c r="D36" s="18"/>
      <c r="E36" s="18"/>
      <c r="F36" s="18"/>
      <c r="G36" s="18"/>
      <c r="H36" s="18"/>
      <c r="I36" s="18"/>
      <c r="J36" s="18"/>
      <c r="K36" s="18"/>
      <c r="L36" s="20"/>
    </row>
    <row r="37" customFormat="false" ht="13.8" hidden="false" customHeight="false" outlineLevel="0" collapsed="false">
      <c r="A37" s="30" t="s">
        <v>126</v>
      </c>
      <c r="B37" s="16" t="s">
        <v>127</v>
      </c>
      <c r="C37" s="18" t="s">
        <v>128</v>
      </c>
      <c r="D37" s="18"/>
      <c r="E37" s="18" t="s">
        <v>129</v>
      </c>
      <c r="F37" s="18"/>
      <c r="G37" s="18"/>
      <c r="H37" s="18" t="s">
        <v>130</v>
      </c>
      <c r="I37" s="18"/>
      <c r="J37" s="18" t="s">
        <v>131</v>
      </c>
      <c r="K37" s="18"/>
      <c r="L37" s="20"/>
    </row>
    <row r="38" customFormat="false" ht="29.85" hidden="false" customHeight="false" outlineLevel="0" collapsed="false">
      <c r="A38" s="4" t="s">
        <v>132</v>
      </c>
      <c r="B38" s="31" t="s">
        <v>133</v>
      </c>
      <c r="C38" s="32" t="s">
        <v>134</v>
      </c>
      <c r="D38" s="33"/>
      <c r="E38" s="33" t="s">
        <v>135</v>
      </c>
      <c r="F38" s="33"/>
      <c r="G38" s="33"/>
      <c r="H38" s="33" t="s">
        <v>136</v>
      </c>
      <c r="I38" s="33"/>
      <c r="J38" s="33" t="s">
        <v>137</v>
      </c>
      <c r="K38" s="33"/>
      <c r="L38" s="34"/>
    </row>
  </sheetData>
  <mergeCells count="6">
    <mergeCell ref="A1:A2"/>
    <mergeCell ref="B1:B2"/>
    <mergeCell ref="C1:D1"/>
    <mergeCell ref="E1:G1"/>
    <mergeCell ref="H1:I1"/>
    <mergeCell ref="J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5078125" defaultRowHeight="14.25" zeroHeight="false" outlineLevelRow="0" outlineLevelCol="0"/>
  <cols>
    <col collapsed="false" customWidth="true" hidden="false" outlineLevel="0" max="1" min="1" style="0" width="47.62"/>
    <col collapsed="false" customWidth="true" hidden="false" outlineLevel="0" max="2" min="2" style="0" width="9.75"/>
    <col collapsed="false" customWidth="true" hidden="false" outlineLevel="0" max="3" min="3" style="0" width="18.62"/>
    <col collapsed="false" customWidth="true" hidden="false" outlineLevel="0" max="5" min="4" style="0" width="18.74"/>
    <col collapsed="false" customWidth="true" hidden="false" outlineLevel="0" max="9" min="6" style="0" width="11.25"/>
  </cols>
  <sheetData>
    <row r="1" customFormat="false" ht="13.8" hidden="false" customHeight="false" outlineLevel="0" collapsed="false">
      <c r="A1" s="35" t="s">
        <v>0</v>
      </c>
      <c r="B1" s="36" t="s">
        <v>1</v>
      </c>
      <c r="C1" s="37" t="s">
        <v>138</v>
      </c>
      <c r="D1" s="37" t="s">
        <v>139</v>
      </c>
    </row>
    <row r="2" customFormat="false" ht="13.8" hidden="false" customHeight="false" outlineLevel="0" collapsed="false">
      <c r="A2" s="38" t="s">
        <v>12</v>
      </c>
      <c r="B2" s="38" t="s">
        <v>13</v>
      </c>
      <c r="C2" s="38" t="s">
        <v>14</v>
      </c>
      <c r="D2" s="38" t="s">
        <v>15</v>
      </c>
    </row>
    <row r="3" customFormat="false" ht="13.8" hidden="false" customHeight="false" outlineLevel="0" collapsed="false">
      <c r="A3" s="39" t="s">
        <v>140</v>
      </c>
      <c r="B3" s="40" t="s">
        <v>141</v>
      </c>
      <c r="C3" s="41" t="s">
        <v>142</v>
      </c>
      <c r="D3" s="42"/>
    </row>
    <row r="4" customFormat="false" ht="13.8" hidden="false" customHeight="false" outlineLevel="0" collapsed="false">
      <c r="A4" s="39" t="s">
        <v>143</v>
      </c>
      <c r="B4" s="43" t="s">
        <v>144</v>
      </c>
      <c r="C4" s="37" t="s">
        <v>145</v>
      </c>
      <c r="D4" s="44"/>
    </row>
    <row r="5" customFormat="false" ht="58.2" hidden="false" customHeight="false" outlineLevel="0" collapsed="false">
      <c r="A5" s="45" t="s">
        <v>146</v>
      </c>
      <c r="B5" s="43" t="s">
        <v>147</v>
      </c>
      <c r="C5" s="37" t="s">
        <v>145</v>
      </c>
      <c r="D5" s="46" t="s">
        <v>148</v>
      </c>
    </row>
    <row r="6" customFormat="false" ht="35.05" hidden="false" customHeight="false" outlineLevel="0" collapsed="false">
      <c r="A6" s="39" t="s">
        <v>149</v>
      </c>
      <c r="B6" s="43" t="s">
        <v>150</v>
      </c>
      <c r="C6" s="37" t="s">
        <v>145</v>
      </c>
      <c r="D6" s="47" t="str">
        <f aca="false">D7</f>
        <v>${expense_current_period_172141.totalAmount}</v>
      </c>
    </row>
    <row r="7" customFormat="false" ht="58.2" hidden="false" customHeight="false" outlineLevel="0" collapsed="false">
      <c r="A7" s="48" t="s">
        <v>151</v>
      </c>
      <c r="B7" s="49" t="s">
        <v>152</v>
      </c>
      <c r="C7" s="37" t="s">
        <v>145</v>
      </c>
      <c r="D7" s="46" t="s">
        <v>153</v>
      </c>
    </row>
    <row r="8" customFormat="false" ht="23.85" hidden="false" customHeight="false" outlineLevel="0" collapsed="false">
      <c r="A8" s="50" t="s">
        <v>154</v>
      </c>
      <c r="B8" s="49" t="s">
        <v>155</v>
      </c>
      <c r="C8" s="37" t="s">
        <v>145</v>
      </c>
      <c r="D8" s="51"/>
    </row>
    <row r="9" customFormat="false" ht="13.8" hidden="false" customHeight="false" outlineLevel="0" collapsed="false">
      <c r="A9" s="50" t="s">
        <v>156</v>
      </c>
      <c r="B9" s="49" t="s">
        <v>157</v>
      </c>
      <c r="C9" s="37" t="s">
        <v>145</v>
      </c>
      <c r="D9" s="51"/>
    </row>
    <row r="10" customFormat="false" ht="35.05" hidden="false" customHeight="false" outlineLevel="0" collapsed="false">
      <c r="A10" s="39" t="s">
        <v>158</v>
      </c>
      <c r="B10" s="49" t="s">
        <v>159</v>
      </c>
      <c r="C10" s="37" t="s">
        <v>160</v>
      </c>
      <c r="D10" s="52" t="str">
        <f aca="false">D11</f>
        <v>${expense_current_period_172151.totalAmount}</v>
      </c>
    </row>
    <row r="11" customFormat="false" ht="58.2" hidden="false" customHeight="false" outlineLevel="0" collapsed="false">
      <c r="A11" s="48" t="s">
        <v>151</v>
      </c>
      <c r="B11" s="49" t="s">
        <v>161</v>
      </c>
      <c r="C11" s="37" t="s">
        <v>160</v>
      </c>
      <c r="D11" s="46" t="s">
        <v>162</v>
      </c>
    </row>
    <row r="12" customFormat="false" ht="23.85" hidden="false" customHeight="false" outlineLevel="0" collapsed="false">
      <c r="A12" s="50" t="s">
        <v>154</v>
      </c>
      <c r="B12" s="49" t="s">
        <v>163</v>
      </c>
      <c r="C12" s="37" t="s">
        <v>160</v>
      </c>
      <c r="D12" s="51"/>
    </row>
    <row r="13" customFormat="false" ht="13.8" hidden="false" customHeight="false" outlineLevel="0" collapsed="false">
      <c r="A13" s="50" t="s">
        <v>156</v>
      </c>
      <c r="B13" s="49" t="s">
        <v>164</v>
      </c>
      <c r="C13" s="37" t="s">
        <v>160</v>
      </c>
      <c r="D13" s="51"/>
    </row>
    <row r="14" customFormat="false" ht="35.05" hidden="false" customHeight="false" outlineLevel="0" collapsed="false">
      <c r="A14" s="39" t="s">
        <v>165</v>
      </c>
      <c r="B14" s="49" t="s">
        <v>166</v>
      </c>
      <c r="C14" s="37" t="s">
        <v>167</v>
      </c>
      <c r="D14" s="52" t="str">
        <f aca="false">D15</f>
        <v>${expense_current_period_172161.totalAmount}</v>
      </c>
    </row>
    <row r="15" customFormat="false" ht="58.2" hidden="false" customHeight="false" outlineLevel="0" collapsed="false">
      <c r="A15" s="48" t="s">
        <v>151</v>
      </c>
      <c r="B15" s="49" t="s">
        <v>168</v>
      </c>
      <c r="C15" s="37" t="s">
        <v>167</v>
      </c>
      <c r="D15" s="46" t="s">
        <v>169</v>
      </c>
    </row>
    <row r="16" customFormat="false" ht="23.85" hidden="false" customHeight="false" outlineLevel="0" collapsed="false">
      <c r="A16" s="50" t="s">
        <v>154</v>
      </c>
      <c r="B16" s="49" t="s">
        <v>170</v>
      </c>
      <c r="C16" s="37" t="s">
        <v>167</v>
      </c>
      <c r="D16" s="44"/>
    </row>
    <row r="17" customFormat="false" ht="13.8" hidden="false" customHeight="false" outlineLevel="0" collapsed="false">
      <c r="A17" s="50" t="s">
        <v>156</v>
      </c>
      <c r="B17" s="53" t="s">
        <v>171</v>
      </c>
      <c r="C17" s="54" t="s">
        <v>167</v>
      </c>
      <c r="D17" s="5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2026-06-07T12:26:46Z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