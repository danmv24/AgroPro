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8.1" sheetId="1" state="visible" r:id="rId2"/>
    <sheet name="8.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5" authorId="0">
      <text>
        <r>
          <rPr>
            <sz val="11"/>
            <color rgb="FF000000"/>
            <rFont val="Calibri"/>
            <family val="2"/>
            <charset val="1"/>
          </rPr>
          <t xml:space="preserve">Автор:
</t>
        </r>
        <r>
          <rPr>
            <sz val="9"/>
            <color rgb="FF000000"/>
            <rFont val="Tahoma"/>
            <family val="2"/>
            <charset val="204"/>
          </rPr>
          <t xml:space="preserve">jx:area(lastCell="D32")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5" authorId="0">
      <text>
        <r>
          <rPr>
            <sz val="11"/>
            <color rgb="FF000000"/>
            <rFont val="Calibri"/>
            <family val="2"/>
            <charset val="1"/>
          </rPr>
          <t xml:space="preserve">jx:area(lastCell="F20")</t>
        </r>
      </text>
    </comment>
  </commentList>
</comments>
</file>

<file path=xl/sharedStrings.xml><?xml version="1.0" encoding="utf-8"?>
<sst xmlns="http://schemas.openxmlformats.org/spreadsheetml/2006/main" count="139" uniqueCount="132">
  <si>
    <t xml:space="preserve">Наименование показателя</t>
  </si>
  <si>
    <t xml:space="preserve">Коды</t>
  </si>
  <si>
    <t xml:space="preserve">Всего на растениеводство
(с 1 января по 31 декабря)</t>
  </si>
  <si>
    <t xml:space="preserve">2026 год</t>
  </si>
  <si>
    <t xml:space="preserve">2025 год</t>
  </si>
  <si>
    <t xml:space="preserve">1</t>
  </si>
  <si>
    <t xml:space="preserve">2</t>
  </si>
  <si>
    <t xml:space="preserve">3</t>
  </si>
  <si>
    <t xml:space="preserve">4</t>
  </si>
  <si>
    <t xml:space="preserve">Затраты ТЕКУЩЕГО ГОДА на производство основных видов продукции (стр.81100+ 81200+ 81300+ 81400+ 81500+ 81600)</t>
  </si>
  <si>
    <t xml:space="preserve">81000</t>
  </si>
  <si>
    <t xml:space="preserve">Из строки 81000 - стоимость продукции СОБСТВЕННОГО ПРОИЗВОДСТВА, отнесенная на затраты ТЕКУЩЕГО ГОДА (семян, кормов собственного производства)</t>
  </si>
  <si>
    <t xml:space="preserve">81001</t>
  </si>
  <si>
    <t xml:space="preserve">1. Материальные затраты (на сырье, материалы, иные материально-производственные запасы, используемые в производстве):
(стр.81110+ 81120+ 81130+ 81140+ 81150+ 81160+ 81170+ 81180+ 81190)</t>
  </si>
  <si>
    <t xml:space="preserve">81100</t>
  </si>
  <si>
    <t xml:space="preserve">семена и посадочный материал 
(стр.81111+ 81112)</t>
  </si>
  <si>
    <t xml:space="preserve">81110</t>
  </si>
  <si>
    <t xml:space="preserve">в том числе:
семена и посадочный материал собственного 
производства</t>
  </si>
  <si>
    <t xml:space="preserve">81111</t>
  </si>
  <si>
    <r>
      <rPr>
        <sz val="10"/>
        <color rgb="FF000000"/>
        <rFont val="Times New Roman"/>
        <family val="1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expense_current_period_81111.totalAmount}</t>
    </r>
  </si>
  <si>
    <r>
      <rPr>
        <sz val="10"/>
        <color rgb="FF000000"/>
        <rFont val="Times New Roman"/>
        <family val="1"/>
        <charset val="204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expense_previous_period_81111.totalAmount}</t>
    </r>
  </si>
  <si>
    <t xml:space="preserve">из них: элитные семена</t>
  </si>
  <si>
    <t xml:space="preserve">81111.1</t>
  </si>
  <si>
    <t xml:space="preserve">семена и посадочный материал покупные</t>
  </si>
  <si>
    <t xml:space="preserve">81112</t>
  </si>
  <si>
    <t xml:space="preserve">${expense_current_period_81112.totalAmount}</t>
  </si>
  <si>
    <t xml:space="preserve">${expense_previous_period_81112.totalAmount}</t>
  </si>
  <si>
    <t xml:space="preserve">81112.1</t>
  </si>
  <si>
    <t xml:space="preserve">корма (стр.81121+ 81122)</t>
  </si>
  <si>
    <t xml:space="preserve">81120</t>
  </si>
  <si>
    <t xml:space="preserve">в том числе:
корма собственного производства</t>
  </si>
  <si>
    <t xml:space="preserve">81121</t>
  </si>
  <si>
    <t xml:space="preserve">корма покупные</t>
  </si>
  <si>
    <t xml:space="preserve">81122</t>
  </si>
  <si>
    <t xml:space="preserve">удобрения, бактериальные и другие препараты 
(стр.81131+ 81132)</t>
  </si>
  <si>
    <t xml:space="preserve">81130</t>
  </si>
  <si>
    <t xml:space="preserve">в том числе:
минеральные удобрения, бактериальные и другие 
препараты</t>
  </si>
  <si>
    <t xml:space="preserve">81131</t>
  </si>
  <si>
    <t xml:space="preserve">${expense_current_period_81131.totalAmount}</t>
  </si>
  <si>
    <t xml:space="preserve">${expense_previous_period_81131.totalAmount}</t>
  </si>
  <si>
    <t xml:space="preserve">органические удобрения</t>
  </si>
  <si>
    <t xml:space="preserve">81132</t>
  </si>
  <si>
    <t xml:space="preserve">средства защиты растений и животных, ветеринарные медикаменты и препараты</t>
  </si>
  <si>
    <t xml:space="preserve">81140</t>
  </si>
  <si>
    <t xml:space="preserve">${expense_current_period_81140.totalAmount}</t>
  </si>
  <si>
    <t xml:space="preserve">${expense_previous_period_81140.totalAmount}</t>
  </si>
  <si>
    <t xml:space="preserve">покупная энергия всех видов 
(электрическая, тепловая, сжатый воздух, холод и другие)</t>
  </si>
  <si>
    <t xml:space="preserve">81150</t>
  </si>
  <si>
    <t xml:space="preserve">в том числе: электроэнергия</t>
  </si>
  <si>
    <t xml:space="preserve">81151</t>
  </si>
  <si>
    <t xml:space="preserve">${expense_current_period_81151.totalAmount}</t>
  </si>
  <si>
    <t xml:space="preserve">${expense_previous_period_81151.totalAmount}</t>
  </si>
  <si>
    <t xml:space="preserve">топливо, кроме нефтепродуктов (уголь, торфобрикеты, газ, дрова и другие)</t>
  </si>
  <si>
    <t xml:space="preserve">81160</t>
  </si>
  <si>
    <t xml:space="preserve">в том числе: газ</t>
  </si>
  <si>
    <t xml:space="preserve">81161</t>
  </si>
  <si>
    <t xml:space="preserve">${expense_current_period_81161.totalAmount}</t>
  </si>
  <si>
    <t xml:space="preserve">${expense_previous_period_81161.totalAmount}</t>
  </si>
  <si>
    <t xml:space="preserve">нефтепродукты всех видов, используемые на технологические цели</t>
  </si>
  <si>
    <t xml:space="preserve">81170</t>
  </si>
  <si>
    <t xml:space="preserve">в том числе: 
дизельное топливо</t>
  </si>
  <si>
    <t xml:space="preserve">81171</t>
  </si>
  <si>
    <t xml:space="preserve">${expense_current_period_81171.totalAmount}</t>
  </si>
  <si>
    <t xml:space="preserve">${expense_previous_period_81171.totalAmount}</t>
  </si>
  <si>
    <t xml:space="preserve">бензин</t>
  </si>
  <si>
    <t xml:space="preserve">81172</t>
  </si>
  <si>
    <t xml:space="preserve">${expense_current_period_81172.totalAmount}</t>
  </si>
  <si>
    <t xml:space="preserve">${expense_previous_period_81172.totalAmount}</t>
  </si>
  <si>
    <t xml:space="preserve">запасные части и материалы для ремонта основных средств, инвентаря, приборов, инструментов и других средств труда</t>
  </si>
  <si>
    <t xml:space="preserve">81180</t>
  </si>
  <si>
    <t xml:space="preserve">${expense_current_period_81180.totalAmount}</t>
  </si>
  <si>
    <t xml:space="preserve">${expense_previous_period_81180.totalAmount}</t>
  </si>
  <si>
    <t xml:space="preserve">прочие материальные затраты 
(предметы труда, используемые в производстве)</t>
  </si>
  <si>
    <t xml:space="preserve">81190</t>
  </si>
  <si>
    <t xml:space="preserve">в том числе: 
прочая продукция сельского хозяйства
(подстилка, яйца для  инкубации, прочее)</t>
  </si>
  <si>
    <t xml:space="preserve">81191</t>
  </si>
  <si>
    <t xml:space="preserve">затраты на сырье и материалы промышленных и подсобных производств</t>
  </si>
  <si>
    <t xml:space="preserve">81192</t>
  </si>
  <si>
    <t xml:space="preserve">${expense_current_period_81192.totalAmount}</t>
  </si>
  <si>
    <t xml:space="preserve">${expense_previous_period_81192.totalAmount}</t>
  </si>
  <si>
    <t xml:space="preserve">прочие сырье и материалы</t>
  </si>
  <si>
    <t xml:space="preserve">81193</t>
  </si>
  <si>
    <t xml:space="preserve">потери продукции и материалов в пределах норм естественной убыли при хранении и транспортировке</t>
  </si>
  <si>
    <t xml:space="preserve">81194</t>
  </si>
  <si>
    <t xml:space="preserve">в том числе: на производство продукции</t>
  </si>
  <si>
    <t xml:space="preserve">растениеводства</t>
  </si>
  <si>
    <t xml:space="preserve">5</t>
  </si>
  <si>
    <t xml:space="preserve">6</t>
  </si>
  <si>
    <t xml:space="preserve">2. Материальные затраты (оплата работ и услуг производственного характера, в том числе выполненных сторонними организациями) 
(стр. 81210+ 81220+ 81230+ 81240+ 81250+ 81260+ 81290):</t>
  </si>
  <si>
    <t xml:space="preserve">81200</t>
  </si>
  <si>
    <t xml:space="preserve">транспортные работы по обслуживанию производства, в том числе по перевозке грузов внутри организации и доставке готовой продукции на склад для хранения</t>
  </si>
  <si>
    <t xml:space="preserve">81210</t>
  </si>
  <si>
    <t xml:space="preserve">оплата работ по мелиорации земель, химизации почв и другим агрохимическим работам, включая услуги по подаче воды для орошения</t>
  </si>
  <si>
    <t xml:space="preserve">81220</t>
  </si>
  <si>
    <t xml:space="preserve">противопаводковые мероприятия</t>
  </si>
  <si>
    <t xml:space="preserve">81230</t>
  </si>
  <si>
    <t xml:space="preserve">оплата работ по борьбе с вредителями и болезнями сельскохозяйственных растений и животных</t>
  </si>
  <si>
    <t xml:space="preserve">81240</t>
  </si>
  <si>
    <r>
      <rPr>
        <sz val="10"/>
        <color rgb="FF000000"/>
        <rFont val="Times New Roman"/>
        <family val="1"/>
        <charset val="204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expense_current_period_81240.totalAmount}</t>
    </r>
  </si>
  <si>
    <r>
      <rPr>
        <sz val="10"/>
        <color rgb="FF000000"/>
        <rFont val="Times New Roman"/>
        <family val="1"/>
        <charset val="204"/>
      </rPr>
      <t xml:space="preserve">${expense_previous_period_</t>
    </r>
    <r>
      <rPr>
        <sz val="10"/>
        <color rgb="FF000000"/>
        <rFont val="JetBrains Mono"/>
        <family val="3"/>
        <charset val="1"/>
      </rPr>
      <t xml:space="preserve">81240.totalAmount}</t>
    </r>
  </si>
  <si>
    <t xml:space="preserve">оплата работ по всем видам ремонта сельскохозяйственной техники сторонними организациями</t>
  </si>
  <si>
    <t xml:space="preserve">81250</t>
  </si>
  <si>
    <r>
      <rPr>
        <sz val="10"/>
        <color rgb="FF000000"/>
        <rFont val="Times New Roman"/>
        <family val="1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expense_current_period_81250.totalAmount}</t>
    </r>
  </si>
  <si>
    <r>
      <rPr>
        <sz val="10"/>
        <color rgb="FF000000"/>
        <rFont val="Times New Roman"/>
        <family val="1"/>
        <charset val="1"/>
      </rPr>
      <t xml:space="preserve">${expense_previous_period_</t>
    </r>
    <r>
      <rPr>
        <sz val="10"/>
        <color rgb="FF000000"/>
        <rFont val="JetBrains Mono"/>
        <family val="3"/>
        <charset val="1"/>
      </rPr>
      <t xml:space="preserve">81250.totalAmount}</t>
    </r>
  </si>
  <si>
    <t xml:space="preserve">оплата работ по пахоте, уборке и другим работам в соответствии с технологическим процессом возделывания сельскохозяйственных культур</t>
  </si>
  <si>
    <t xml:space="preserve">81260</t>
  </si>
  <si>
    <r>
      <rPr>
        <sz val="10"/>
        <color rgb="FF000000"/>
        <rFont val="Times New Roman"/>
        <family val="1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expense_current_period_81260.totalAmount}</t>
    </r>
  </si>
  <si>
    <r>
      <rPr>
        <sz val="10"/>
        <color rgb="FF000000"/>
        <rFont val="Times New Roman"/>
        <family val="1"/>
        <charset val="1"/>
      </rPr>
      <t xml:space="preserve">${expense_previous_period_</t>
    </r>
    <r>
      <rPr>
        <sz val="10"/>
        <color rgb="FF000000"/>
        <rFont val="JetBrains Mono"/>
        <family val="3"/>
        <charset val="1"/>
      </rPr>
      <t xml:space="preserve">81260.totalAmount}</t>
    </r>
  </si>
  <si>
    <t xml:space="preserve">прочие работы и услуги сторонних организаций, не включенные в другие группировки</t>
  </si>
  <si>
    <t xml:space="preserve">81290</t>
  </si>
  <si>
    <t xml:space="preserve">3. Затраты на оплату труда</t>
  </si>
  <si>
    <t xml:space="preserve">81300</t>
  </si>
  <si>
    <r>
      <rPr>
        <sz val="10"/>
        <color rgb="FF000000"/>
        <rFont val="Times New Roman"/>
        <family val="1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expense_current_period_81300.totalAmount}</t>
    </r>
  </si>
  <si>
    <r>
      <rPr>
        <sz val="10"/>
        <color rgb="FF000000"/>
        <rFont val="Times New Roman"/>
        <family val="1"/>
        <charset val="1"/>
      </rPr>
      <t xml:space="preserve">${expense_previous_period_</t>
    </r>
    <r>
      <rPr>
        <sz val="10"/>
        <color rgb="FF000000"/>
        <rFont val="JetBrains Mono"/>
        <family val="3"/>
        <charset val="1"/>
      </rPr>
      <t xml:space="preserve">81300.totalAmount}</t>
    </r>
  </si>
  <si>
    <t xml:space="preserve">4. Отчисления на социальные нужды</t>
  </si>
  <si>
    <t xml:space="preserve">81400</t>
  </si>
  <si>
    <r>
      <rPr>
        <sz val="10"/>
        <color rgb="FF000000"/>
        <rFont val="Times New Roman"/>
        <family val="1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expense_current_period_81400.totalAmount}</t>
    </r>
  </si>
  <si>
    <r>
      <rPr>
        <sz val="10"/>
        <color rgb="FF000000"/>
        <rFont val="Times New Roman"/>
        <family val="1"/>
        <charset val="1"/>
      </rPr>
      <t xml:space="preserve">${expense_previous_period_</t>
    </r>
    <r>
      <rPr>
        <sz val="10"/>
        <color rgb="FF000000"/>
        <rFont val="JetBrains Mono"/>
        <family val="3"/>
        <charset val="1"/>
      </rPr>
      <t xml:space="preserve">81400.totalAmount}</t>
    </r>
  </si>
  <si>
    <t xml:space="preserve">6. Прочие затраты 
(стр.81610+ 81620+ 81690)</t>
  </si>
  <si>
    <t xml:space="preserve">81600</t>
  </si>
  <si>
    <t xml:space="preserve">в том числе:
налоги, сборы и другие аналогичные платежи</t>
  </si>
  <si>
    <t xml:space="preserve">81610</t>
  </si>
  <si>
    <r>
      <rPr>
        <sz val="10"/>
        <color rgb="FF000000"/>
        <rFont val="Times New Roman"/>
        <family val="1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expense_current_period_81610.totalAmount}</t>
    </r>
  </si>
  <si>
    <r>
      <rPr>
        <sz val="10"/>
        <color rgb="FF000000"/>
        <rFont val="Times New Roman"/>
        <family val="1"/>
        <charset val="1"/>
      </rPr>
      <t xml:space="preserve">${expense_previous_period_</t>
    </r>
    <r>
      <rPr>
        <sz val="10"/>
        <color rgb="FF000000"/>
        <rFont val="JetBrains Mono"/>
        <family val="3"/>
        <charset val="1"/>
      </rPr>
      <t xml:space="preserve">81610.totalAmount}</t>
    </r>
  </si>
  <si>
    <t xml:space="preserve">затраты по страхованию продукции</t>
  </si>
  <si>
    <t xml:space="preserve">81620</t>
  </si>
  <si>
    <r>
      <rPr>
        <sz val="10"/>
        <color rgb="FF000000"/>
        <rFont val="Times New Roman"/>
        <family val="1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expense_current_period_81620.totalAmount}</t>
    </r>
  </si>
  <si>
    <r>
      <rPr>
        <sz val="10"/>
        <color rgb="FF000000"/>
        <rFont val="Times New Roman"/>
        <family val="1"/>
        <charset val="1"/>
      </rPr>
      <t xml:space="preserve">${expense_previous_period_</t>
    </r>
    <r>
      <rPr>
        <sz val="10"/>
        <color rgb="FF000000"/>
        <rFont val="JetBrains Mono"/>
        <family val="3"/>
        <charset val="1"/>
      </rPr>
      <t xml:space="preserve">81620.totalAmount}</t>
    </r>
  </si>
  <si>
    <t xml:space="preserve">прочие затраты, не включенные в другие группировки</t>
  </si>
  <si>
    <t xml:space="preserve">81690</t>
  </si>
  <si>
    <r>
      <rPr>
        <sz val="10"/>
        <color rgb="FF000000"/>
        <rFont val="Times New Roman"/>
        <family val="1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expense_current_period_81690.totalAmount}</t>
    </r>
  </si>
  <si>
    <r>
      <rPr>
        <sz val="10"/>
        <color rgb="FF000000"/>
        <rFont val="Times New Roman"/>
        <family val="1"/>
        <charset val="1"/>
      </rPr>
      <t xml:space="preserve">${expense_previous_period_</t>
    </r>
    <r>
      <rPr>
        <sz val="10"/>
        <color rgb="FF000000"/>
        <rFont val="JetBrains Mono"/>
        <family val="3"/>
        <charset val="1"/>
      </rPr>
      <t xml:space="preserve">81690.totalAmount}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</si>
</sst>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=0]\-;General"/>
    <numFmt numFmtId="167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204"/>
    </font>
    <font>
      <i val="true"/>
      <sz val="8"/>
      <color rgb="FF000000"/>
      <name val="Times New Roman"/>
      <family val="1"/>
      <charset val="204"/>
    </font>
    <font>
      <b val="true"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1"/>
    </font>
    <font>
      <sz val="10"/>
      <color rgb="FF000000"/>
      <name val="JetBrains Mono"/>
      <family val="3"/>
      <charset val="1"/>
    </font>
    <font>
      <sz val="9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7" fontId="7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6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65.38"/>
    <col collapsed="false" customWidth="true" hidden="false" outlineLevel="0" max="2" min="2" style="0" width="9.13"/>
    <col collapsed="false" customWidth="true" hidden="false" outlineLevel="0" max="9" min="3" style="0" width="16.87"/>
  </cols>
  <sheetData>
    <row r="1" customFormat="false" ht="13.8" hidden="false" customHeight="true" outlineLevel="0" collapsed="false">
      <c r="A1" s="1" t="s">
        <v>0</v>
      </c>
      <c r="B1" s="1" t="s">
        <v>1</v>
      </c>
      <c r="C1" s="2" t="s">
        <v>2</v>
      </c>
      <c r="D1" s="2"/>
    </row>
    <row r="2" customFormat="false" ht="13.8" hidden="false" customHeight="false" outlineLevel="0" collapsed="false">
      <c r="A2" s="1"/>
      <c r="B2" s="1"/>
      <c r="C2" s="2"/>
      <c r="D2" s="2"/>
    </row>
    <row r="3" customFormat="false" ht="13.8" hidden="false" customHeight="false" outlineLevel="0" collapsed="false">
      <c r="A3" s="1"/>
      <c r="B3" s="1"/>
      <c r="C3" s="2" t="s">
        <v>3</v>
      </c>
      <c r="D3" s="2" t="s">
        <v>4</v>
      </c>
    </row>
    <row r="4" customFormat="false" ht="13.8" hidden="false" customHeight="false" outlineLevel="0" collapsed="false">
      <c r="A4" s="3" t="s">
        <v>5</v>
      </c>
      <c r="B4" s="4" t="s">
        <v>6</v>
      </c>
      <c r="C4" s="4" t="s">
        <v>7</v>
      </c>
      <c r="D4" s="4" t="s">
        <v>8</v>
      </c>
    </row>
    <row r="5" customFormat="false" ht="23.85" hidden="false" customHeight="false" outlineLevel="0" collapsed="false">
      <c r="A5" s="5" t="s">
        <v>9</v>
      </c>
      <c r="B5" s="6" t="s">
        <v>10</v>
      </c>
      <c r="C5" s="7" t="e">
        <f aca="false">C7+'8.2'!C5+'8.2'!C13+'8.2'!C14+'8.2'!C15</f>
        <v>#VALUE!</v>
      </c>
      <c r="D5" s="7" t="e">
        <f aca="false">D7+'8.2'!D5+'8.2'!D13+'8.2'!D14+'8.2'!D15</f>
        <v>#VALUE!</v>
      </c>
    </row>
    <row r="6" customFormat="false" ht="23.85" hidden="false" customHeight="false" outlineLevel="0" collapsed="false">
      <c r="A6" s="8" t="s">
        <v>11</v>
      </c>
      <c r="B6" s="9" t="s">
        <v>12</v>
      </c>
      <c r="C6" s="10"/>
      <c r="D6" s="10"/>
    </row>
    <row r="7" customFormat="false" ht="35.05" hidden="false" customHeight="false" outlineLevel="0" collapsed="false">
      <c r="A7" s="5" t="s">
        <v>13</v>
      </c>
      <c r="B7" s="11" t="s">
        <v>14</v>
      </c>
      <c r="C7" s="12" t="e">
        <f aca="false">C8+C16+C19+C20+C22+C24+C27+C28</f>
        <v>#VALUE!</v>
      </c>
      <c r="D7" s="12" t="e">
        <f aca="false">D8+D16+D19+D20+D22+D24+D27+D28</f>
        <v>#VALUE!</v>
      </c>
    </row>
    <row r="8" customFormat="false" ht="23.85" hidden="false" customHeight="false" outlineLevel="0" collapsed="false">
      <c r="A8" s="8" t="s">
        <v>15</v>
      </c>
      <c r="B8" s="9" t="s">
        <v>16</v>
      </c>
      <c r="C8" s="13" t="e">
        <f aca="false">C9+C11</f>
        <v>#VALUE!</v>
      </c>
      <c r="D8" s="13" t="e">
        <f aca="false">D9+D11</f>
        <v>#VALUE!</v>
      </c>
    </row>
    <row r="9" customFormat="false" ht="46.25" hidden="false" customHeight="false" outlineLevel="0" collapsed="false">
      <c r="A9" s="14" t="s">
        <v>17</v>
      </c>
      <c r="B9" s="9" t="s">
        <v>18</v>
      </c>
      <c r="C9" s="15" t="s">
        <v>19</v>
      </c>
      <c r="D9" s="16" t="s">
        <v>20</v>
      </c>
    </row>
    <row r="10" customFormat="false" ht="13.8" hidden="false" customHeight="false" outlineLevel="0" collapsed="false">
      <c r="A10" s="17" t="s">
        <v>21</v>
      </c>
      <c r="B10" s="9" t="s">
        <v>22</v>
      </c>
      <c r="C10" s="16"/>
      <c r="D10" s="16"/>
    </row>
    <row r="11" customFormat="false" ht="46.25" hidden="false" customHeight="false" outlineLevel="0" collapsed="false">
      <c r="A11" s="18" t="s">
        <v>23</v>
      </c>
      <c r="B11" s="9" t="s">
        <v>24</v>
      </c>
      <c r="C11" s="16" t="s">
        <v>25</v>
      </c>
      <c r="D11" s="16" t="s">
        <v>26</v>
      </c>
    </row>
    <row r="12" customFormat="false" ht="13.8" hidden="false" customHeight="false" outlineLevel="0" collapsed="false">
      <c r="A12" s="17" t="s">
        <v>21</v>
      </c>
      <c r="B12" s="19" t="s">
        <v>27</v>
      </c>
      <c r="C12" s="10"/>
      <c r="D12" s="10"/>
    </row>
    <row r="13" customFormat="false" ht="13.8" hidden="false" customHeight="false" outlineLevel="0" collapsed="false">
      <c r="A13" s="8" t="s">
        <v>28</v>
      </c>
      <c r="B13" s="9" t="s">
        <v>29</v>
      </c>
      <c r="C13" s="10"/>
      <c r="D13" s="10"/>
    </row>
    <row r="14" customFormat="false" ht="23.85" hidden="false" customHeight="false" outlineLevel="0" collapsed="false">
      <c r="A14" s="14" t="s">
        <v>30</v>
      </c>
      <c r="B14" s="9" t="s">
        <v>31</v>
      </c>
      <c r="C14" s="10"/>
      <c r="D14" s="10"/>
    </row>
    <row r="15" customFormat="false" ht="13.8" hidden="false" customHeight="false" outlineLevel="0" collapsed="false">
      <c r="A15" s="14" t="s">
        <v>32</v>
      </c>
      <c r="B15" s="9" t="s">
        <v>33</v>
      </c>
      <c r="C15" s="10"/>
      <c r="D15" s="10"/>
    </row>
    <row r="16" customFormat="false" ht="23.85" hidden="false" customHeight="false" outlineLevel="0" collapsed="false">
      <c r="A16" s="8" t="s">
        <v>34</v>
      </c>
      <c r="B16" s="9" t="s">
        <v>35</v>
      </c>
      <c r="C16" s="13" t="str">
        <f aca="false">C17</f>
        <v>${expense_current_period_81131.totalAmount}</v>
      </c>
      <c r="D16" s="13" t="str">
        <f aca="false">D17</f>
        <v>${expense_previous_period_81131.totalAmount}</v>
      </c>
    </row>
    <row r="17" customFormat="false" ht="46.25" hidden="false" customHeight="false" outlineLevel="0" collapsed="false">
      <c r="A17" s="14" t="s">
        <v>36</v>
      </c>
      <c r="B17" s="9" t="s">
        <v>37</v>
      </c>
      <c r="C17" s="13" t="s">
        <v>38</v>
      </c>
      <c r="D17" s="13" t="s">
        <v>39</v>
      </c>
    </row>
    <row r="18" customFormat="false" ht="13.8" hidden="false" customHeight="false" outlineLevel="0" collapsed="false">
      <c r="A18" s="14" t="s">
        <v>40</v>
      </c>
      <c r="B18" s="9" t="s">
        <v>41</v>
      </c>
      <c r="C18" s="13"/>
      <c r="D18" s="13"/>
    </row>
    <row r="19" customFormat="false" ht="46.25" hidden="false" customHeight="false" outlineLevel="0" collapsed="false">
      <c r="A19" s="8" t="s">
        <v>42</v>
      </c>
      <c r="B19" s="9" t="s">
        <v>43</v>
      </c>
      <c r="C19" s="13" t="s">
        <v>44</v>
      </c>
      <c r="D19" s="13" t="s">
        <v>45</v>
      </c>
    </row>
    <row r="20" customFormat="false" ht="23.85" hidden="false" customHeight="false" outlineLevel="0" collapsed="false">
      <c r="A20" s="8" t="s">
        <v>46</v>
      </c>
      <c r="B20" s="9" t="s">
        <v>47</v>
      </c>
      <c r="C20" s="13" t="str">
        <f aca="false">C21</f>
        <v>${expense_current_period_81151.totalAmount}</v>
      </c>
      <c r="D20" s="13" t="str">
        <f aca="false">D21</f>
        <v>${expense_previous_period_81151.totalAmount}</v>
      </c>
    </row>
    <row r="21" customFormat="false" ht="46.25" hidden="false" customHeight="false" outlineLevel="0" collapsed="false">
      <c r="A21" s="14" t="s">
        <v>48</v>
      </c>
      <c r="B21" s="9" t="s">
        <v>49</v>
      </c>
      <c r="C21" s="13" t="s">
        <v>50</v>
      </c>
      <c r="D21" s="13" t="s">
        <v>51</v>
      </c>
    </row>
    <row r="22" customFormat="false" ht="13.8" hidden="false" customHeight="false" outlineLevel="0" collapsed="false">
      <c r="A22" s="8" t="s">
        <v>52</v>
      </c>
      <c r="B22" s="9" t="s">
        <v>53</v>
      </c>
      <c r="C22" s="13" t="str">
        <f aca="false">C23</f>
        <v>${expense_current_period_81161.totalAmount}</v>
      </c>
      <c r="D22" s="13" t="str">
        <f aca="false">D23</f>
        <v>${expense_previous_period_81161.totalAmount}</v>
      </c>
    </row>
    <row r="23" customFormat="false" ht="46.25" hidden="false" customHeight="false" outlineLevel="0" collapsed="false">
      <c r="A23" s="14" t="s">
        <v>54</v>
      </c>
      <c r="B23" s="9" t="s">
        <v>55</v>
      </c>
      <c r="C23" s="13" t="s">
        <v>56</v>
      </c>
      <c r="D23" s="13" t="s">
        <v>57</v>
      </c>
    </row>
    <row r="24" customFormat="false" ht="13.8" hidden="false" customHeight="false" outlineLevel="0" collapsed="false">
      <c r="A24" s="8" t="s">
        <v>58</v>
      </c>
      <c r="B24" s="9" t="s">
        <v>59</v>
      </c>
      <c r="C24" s="13" t="e">
        <f aca="false">C25+C26</f>
        <v>#VALUE!</v>
      </c>
      <c r="D24" s="13" t="e">
        <f aca="false">D25+D26</f>
        <v>#VALUE!</v>
      </c>
    </row>
    <row r="25" customFormat="false" ht="46.25" hidden="false" customHeight="false" outlineLevel="0" collapsed="false">
      <c r="A25" s="14" t="s">
        <v>60</v>
      </c>
      <c r="B25" s="9" t="s">
        <v>61</v>
      </c>
      <c r="C25" s="13" t="s">
        <v>62</v>
      </c>
      <c r="D25" s="13" t="s">
        <v>63</v>
      </c>
    </row>
    <row r="26" customFormat="false" ht="46.25" hidden="false" customHeight="false" outlineLevel="0" collapsed="false">
      <c r="A26" s="14" t="s">
        <v>64</v>
      </c>
      <c r="B26" s="9" t="s">
        <v>65</v>
      </c>
      <c r="C26" s="13" t="s">
        <v>66</v>
      </c>
      <c r="D26" s="13" t="s">
        <v>67</v>
      </c>
    </row>
    <row r="27" customFormat="false" ht="46.25" hidden="false" customHeight="false" outlineLevel="0" collapsed="false">
      <c r="A27" s="8" t="s">
        <v>68</v>
      </c>
      <c r="B27" s="9" t="s">
        <v>69</v>
      </c>
      <c r="C27" s="13" t="s">
        <v>70</v>
      </c>
      <c r="D27" s="13" t="s">
        <v>71</v>
      </c>
    </row>
    <row r="28" customFormat="false" ht="23.85" hidden="false" customHeight="false" outlineLevel="0" collapsed="false">
      <c r="A28" s="8" t="s">
        <v>72</v>
      </c>
      <c r="B28" s="9" t="s">
        <v>73</v>
      </c>
      <c r="C28" s="13" t="str">
        <f aca="false">C30</f>
        <v>${expense_current_period_81192.totalAmount}</v>
      </c>
      <c r="D28" s="13" t="str">
        <f aca="false">D30</f>
        <v>${expense_previous_period_81192.totalAmount}</v>
      </c>
    </row>
    <row r="29" customFormat="false" ht="35.05" hidden="false" customHeight="false" outlineLevel="0" collapsed="false">
      <c r="A29" s="14" t="s">
        <v>74</v>
      </c>
      <c r="B29" s="9" t="s">
        <v>75</v>
      </c>
      <c r="C29" s="13"/>
      <c r="D29" s="13"/>
    </row>
    <row r="30" customFormat="false" ht="46.25" hidden="false" customHeight="false" outlineLevel="0" collapsed="false">
      <c r="A30" s="14" t="s">
        <v>76</v>
      </c>
      <c r="B30" s="9" t="s">
        <v>77</v>
      </c>
      <c r="C30" s="13" t="s">
        <v>78</v>
      </c>
      <c r="D30" s="13" t="s">
        <v>79</v>
      </c>
    </row>
    <row r="31" customFormat="false" ht="13.8" hidden="false" customHeight="false" outlineLevel="0" collapsed="false">
      <c r="A31" s="14" t="s">
        <v>80</v>
      </c>
      <c r="B31" s="9" t="s">
        <v>81</v>
      </c>
      <c r="C31" s="13"/>
      <c r="D31" s="13"/>
    </row>
    <row r="32" customFormat="false" ht="23.85" hidden="false" customHeight="false" outlineLevel="0" collapsed="false">
      <c r="A32" s="14" t="s">
        <v>82</v>
      </c>
      <c r="B32" s="20" t="s">
        <v>83</v>
      </c>
      <c r="C32" s="13"/>
      <c r="D32" s="13"/>
    </row>
  </sheetData>
  <mergeCells count="3">
    <mergeCell ref="A1:A3"/>
    <mergeCell ref="B1:B3"/>
    <mergeCell ref="C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65.38"/>
    <col collapsed="false" customWidth="true" hidden="false" outlineLevel="0" max="2" min="2" style="0" width="9.13"/>
    <col collapsed="false" customWidth="true" hidden="false" outlineLevel="0" max="9" min="3" style="0" width="16.8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1" t="s">
        <v>84</v>
      </c>
      <c r="D1" s="21"/>
      <c r="E1" s="21"/>
      <c r="F1" s="21"/>
    </row>
    <row r="2" customFormat="false" ht="13.8" hidden="false" customHeight="false" outlineLevel="0" collapsed="false">
      <c r="A2" s="1"/>
      <c r="B2" s="1"/>
      <c r="C2" s="1" t="s">
        <v>85</v>
      </c>
      <c r="D2" s="1"/>
    </row>
    <row r="3" customFormat="false" ht="13.8" hidden="false" customHeight="false" outlineLevel="0" collapsed="false">
      <c r="A3" s="1"/>
      <c r="B3" s="1"/>
      <c r="C3" s="2" t="s">
        <v>3</v>
      </c>
      <c r="D3" s="2" t="s">
        <v>4</v>
      </c>
    </row>
    <row r="4" customFormat="false" ht="13.8" hidden="false" customHeight="false" outlineLevel="0" collapsed="false">
      <c r="A4" s="3" t="s">
        <v>5</v>
      </c>
      <c r="B4" s="4" t="s">
        <v>6</v>
      </c>
      <c r="C4" s="4" t="s">
        <v>86</v>
      </c>
      <c r="D4" s="4" t="s">
        <v>87</v>
      </c>
    </row>
    <row r="5" customFormat="false" ht="35.05" hidden="false" customHeight="false" outlineLevel="0" collapsed="false">
      <c r="A5" s="5" t="s">
        <v>88</v>
      </c>
      <c r="B5" s="11" t="s">
        <v>89</v>
      </c>
      <c r="C5" s="12" t="e">
        <f aca="false">C6+C7+C8+C9+C10+C11+C12</f>
        <v>#VALUE!</v>
      </c>
      <c r="D5" s="12" t="e">
        <f aca="false">D6+D7+D8+D9+D10+D11+D12</f>
        <v>#VALUE!</v>
      </c>
    </row>
    <row r="6" customFormat="false" ht="23.85" hidden="false" customHeight="false" outlineLevel="0" collapsed="false">
      <c r="A6" s="8" t="s">
        <v>90</v>
      </c>
      <c r="B6" s="9" t="s">
        <v>91</v>
      </c>
      <c r="C6" s="10"/>
      <c r="D6" s="10"/>
    </row>
    <row r="7" customFormat="false" ht="23.85" hidden="false" customHeight="false" outlineLevel="0" collapsed="false">
      <c r="A7" s="8" t="s">
        <v>92</v>
      </c>
      <c r="B7" s="9" t="s">
        <v>93</v>
      </c>
      <c r="C7" s="10"/>
      <c r="D7" s="10"/>
    </row>
    <row r="8" customFormat="false" ht="13.8" hidden="false" customHeight="false" outlineLevel="0" collapsed="false">
      <c r="A8" s="8" t="s">
        <v>94</v>
      </c>
      <c r="B8" s="9" t="s">
        <v>95</v>
      </c>
      <c r="C8" s="10"/>
      <c r="D8" s="10"/>
    </row>
    <row r="9" customFormat="false" ht="46.25" hidden="false" customHeight="false" outlineLevel="0" collapsed="false">
      <c r="A9" s="8" t="s">
        <v>96</v>
      </c>
      <c r="B9" s="9" t="s">
        <v>97</v>
      </c>
      <c r="C9" s="10" t="s">
        <v>98</v>
      </c>
      <c r="D9" s="10" t="s">
        <v>99</v>
      </c>
    </row>
    <row r="10" customFormat="false" ht="46.25" hidden="false" customHeight="false" outlineLevel="0" collapsed="false">
      <c r="A10" s="8" t="s">
        <v>100</v>
      </c>
      <c r="B10" s="9" t="s">
        <v>101</v>
      </c>
      <c r="C10" s="22" t="s">
        <v>102</v>
      </c>
      <c r="D10" s="22" t="s">
        <v>103</v>
      </c>
    </row>
    <row r="11" customFormat="false" ht="46.25" hidden="false" customHeight="false" outlineLevel="0" collapsed="false">
      <c r="A11" s="8" t="s">
        <v>104</v>
      </c>
      <c r="B11" s="9" t="s">
        <v>105</v>
      </c>
      <c r="C11" s="22" t="s">
        <v>106</v>
      </c>
      <c r="D11" s="22" t="s">
        <v>107</v>
      </c>
    </row>
    <row r="12" customFormat="false" ht="13.8" hidden="false" customHeight="false" outlineLevel="0" collapsed="false">
      <c r="A12" s="8" t="s">
        <v>108</v>
      </c>
      <c r="B12" s="9" t="s">
        <v>109</v>
      </c>
      <c r="C12" s="10"/>
      <c r="D12" s="10"/>
    </row>
    <row r="13" customFormat="false" ht="46.25" hidden="false" customHeight="false" outlineLevel="0" collapsed="false">
      <c r="A13" s="5" t="s">
        <v>110</v>
      </c>
      <c r="B13" s="11" t="s">
        <v>111</v>
      </c>
      <c r="C13" s="22" t="s">
        <v>112</v>
      </c>
      <c r="D13" s="22" t="s">
        <v>113</v>
      </c>
    </row>
    <row r="14" customFormat="false" ht="46.25" hidden="false" customHeight="false" outlineLevel="0" collapsed="false">
      <c r="A14" s="5" t="s">
        <v>114</v>
      </c>
      <c r="B14" s="11" t="s">
        <v>115</v>
      </c>
      <c r="C14" s="22" t="s">
        <v>116</v>
      </c>
      <c r="D14" s="22" t="s">
        <v>117</v>
      </c>
    </row>
    <row r="15" customFormat="false" ht="23.85" hidden="false" customHeight="false" outlineLevel="0" collapsed="false">
      <c r="A15" s="5" t="s">
        <v>118</v>
      </c>
      <c r="B15" s="11" t="s">
        <v>119</v>
      </c>
      <c r="C15" s="12" t="e">
        <f aca="false">C16+C17+C18</f>
        <v>#VALUE!</v>
      </c>
      <c r="D15" s="12" t="e">
        <f aca="false">D16+D17+D18</f>
        <v>#VALUE!</v>
      </c>
    </row>
    <row r="16" customFormat="false" ht="46.25" hidden="false" customHeight="false" outlineLevel="0" collapsed="false">
      <c r="A16" s="8" t="s">
        <v>120</v>
      </c>
      <c r="B16" s="9" t="s">
        <v>121</v>
      </c>
      <c r="C16" s="23" t="s">
        <v>122</v>
      </c>
      <c r="D16" s="23" t="s">
        <v>123</v>
      </c>
    </row>
    <row r="17" customFormat="false" ht="46.25" hidden="false" customHeight="false" outlineLevel="0" collapsed="false">
      <c r="A17" s="8" t="s">
        <v>124</v>
      </c>
      <c r="B17" s="9" t="s">
        <v>125</v>
      </c>
      <c r="C17" s="23" t="s">
        <v>126</v>
      </c>
      <c r="D17" s="23" t="s">
        <v>127</v>
      </c>
    </row>
    <row r="18" customFormat="false" ht="46.25" hidden="false" customHeight="false" outlineLevel="0" collapsed="false">
      <c r="A18" s="8" t="s">
        <v>128</v>
      </c>
      <c r="B18" s="9" t="s">
        <v>129</v>
      </c>
      <c r="C18" s="23" t="s">
        <v>130</v>
      </c>
      <c r="D18" s="23" t="s">
        <v>131</v>
      </c>
    </row>
  </sheetData>
  <mergeCells count="4">
    <mergeCell ref="A1:A3"/>
    <mergeCell ref="B1:B3"/>
    <mergeCell ref="C1:F1"/>
    <mergeCell ref="C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2026-06-07T11:27:06Z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